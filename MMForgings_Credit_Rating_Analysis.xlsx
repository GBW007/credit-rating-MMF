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ource_Data" sheetId="2" state="visible" r:id="rId4"/>
    <sheet name="FY27E_Base" sheetId="3" state="visible" r:id="rId5"/>
    <sheet name="Analysis" sheetId="4" state="visible" r:id="rId6"/>
    <sheet name="Debt_Service" sheetId="5" state="visible" r:id="rId7"/>
    <sheet name="Rating" sheetId="6" state="visible" r:id="rId8"/>
    <sheet name="Rating_Bridge" sheetId="7" state="visible" r:id="rId9"/>
    <sheet name="CARE_Benchmar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<sst xmlns="http://schemas.openxmlformats.org/spreadsheetml/2006/main" count="403" uniqueCount="311">
  <si>
    <t xml:space="preserve">M M Forgings Ltd — Independent Credit Rating Analysis</t>
  </si>
  <si>
    <t xml:space="preserve">NSE: MMFL | BSE: 522241 | Consolidated | Actual public data (Screener.in, CARE Ratings) | Prepared by Gaurav Waghmode, 18-Sep-2026</t>
  </si>
  <si>
    <t xml:space="preserve">RATING OUTCOME</t>
  </si>
  <si>
    <t xml:space="preserve">KEY METRICS (FY26 → FY27E)</t>
  </si>
  <si>
    <t xml:space="preserve">Model rating</t>
  </si>
  <si>
    <t xml:space="preserve">Revenue (₹ Cr)</t>
  </si>
  <si>
    <t xml:space="preserve">CARE rating (Jun-2026)</t>
  </si>
  <si>
    <t xml:space="preserve">PBILDT margin</t>
  </si>
  <si>
    <t xml:space="preserve">Notch difference (model vs CARE)</t>
  </si>
  <si>
    <t xml:space="preserve">Gross debt (₹ Cr)</t>
  </si>
  <si>
    <t xml:space="preserve">Weighted score / 10</t>
  </si>
  <si>
    <t xml:space="preserve">Gearing</t>
  </si>
  <si>
    <t xml:space="preserve">Financial sub-score / 10</t>
  </si>
  <si>
    <t xml:space="preserve">Debt / PBILDT</t>
  </si>
  <si>
    <t xml:space="preserve">Indicative PD</t>
  </si>
  <si>
    <t xml:space="preserve">Net debt / PBILDT</t>
  </si>
  <si>
    <t xml:space="preserve">Debt basis used</t>
  </si>
  <si>
    <t xml:space="preserve">Interest coverage</t>
  </si>
  <si>
    <t xml:space="preserve">FY27E base-case DSCR</t>
  </si>
  <si>
    <t xml:space="preserve">ROCE</t>
  </si>
  <si>
    <t xml:space="preserve">Worst-scenario DSCR</t>
  </si>
  <si>
    <t xml:space="preserve">Cash accruals (₹ Cr)</t>
  </si>
  <si>
    <t xml:space="preserve">PBILDT cushion before accruals &lt; repayment</t>
  </si>
  <si>
    <t xml:space="preserve">Chart data (linked)</t>
  </si>
  <si>
    <t xml:space="preserve">Year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</si>
  <si>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</si>
  <si>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</si>
  <si>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</si>
  <si>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</si>
  <si>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</si>
  <si>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FY27E</t>
  </si>
  <si>
    <t xml:space="preserve">PBILDT (₹ Cr)</t>
  </si>
  <si>
    <t xml:space="preserve">Debt / PBILDT (x)</t>
  </si>
  <si>
    <t xml:space="preserve">Gearing (x)</t>
  </si>
  <si>
    <t xml:space="preserve">Sources: Screener.in consolidated financials (C-MOTS data) and CARE Ratings press release dated 30-Jun-2026. Independent analysis for educational purposes; not investment advice or an official rating.</t>
  </si>
  <si>
    <t xml:space="preserve">M M Forgings Ltd (NSE: MMFL / BSE: 522241) — Source Data</t>
  </si>
  <si>
    <t xml:space="preserve">Consolidated, ₹ crore, fiscal years ending 31 March. Blue = sourced input. Column H cites the source for each row.</t>
  </si>
  <si>
    <t xml:space="preserve">₹ crore</t>
  </si>
  <si>
    <t xml:space="preserve">Source</t>
  </si>
  <si>
    <t xml:space="preserve">PROFIT &amp; LOSS</t>
  </si>
  <si>
    <t xml:space="preserve">Sales / total operating income</t>
  </si>
  <si>
    <t xml:space="preserve">Screener.in consolidated (data: C-MOTS), accessed 18-Sep-2026</t>
  </si>
  <si>
    <t xml:space="preserve">Operating expenses</t>
  </si>
  <si>
    <t xml:space="preserve">Other income</t>
  </si>
  <si>
    <t xml:space="preserve">Interest (finance cost)</t>
  </si>
  <si>
    <t xml:space="preserve">Depreciation</t>
  </si>
  <si>
    <t xml:space="preserve">Profit before tax</t>
  </si>
  <si>
    <t xml:space="preserve">Net profit (PAT)</t>
  </si>
  <si>
    <t xml:space="preserve">Dividend payout %</t>
  </si>
  <si>
    <t xml:space="preserve">BALANCE SHEET (31 March)</t>
  </si>
  <si>
    <t xml:space="preserve">Equity share capital</t>
  </si>
  <si>
    <t xml:space="preserve">Reserves</t>
  </si>
  <si>
    <t xml:space="preserve">Borrowings (gross)</t>
  </si>
  <si>
    <t xml:space="preserve">Other liabilities</t>
  </si>
  <si>
    <t xml:space="preserve">Net fixed assets</t>
  </si>
  <si>
    <t xml:space="preserve">Capital work-in-progress</t>
  </si>
  <si>
    <t xml:space="preserve">Investments (non-current, per Screener)</t>
  </si>
  <si>
    <t xml:space="preserve">Other assets (current assets etc.)</t>
  </si>
  <si>
    <t xml:space="preserve">CASH FLOW</t>
  </si>
  <si>
    <t xml:space="preserve">Cash from operating activity</t>
  </si>
  <si>
    <t xml:space="preserve">Cash from investing activity</t>
  </si>
  <si>
    <t xml:space="preserve">Cash from financing activity</t>
  </si>
  <si>
    <t xml:space="preserve">WORKING-CAPITAL DAYS</t>
  </si>
  <si>
    <t xml:space="preserve">Debtor days</t>
  </si>
  <si>
    <t xml:space="preserve">Inventory days</t>
  </si>
  <si>
    <t xml:space="preserve">Days payable</t>
  </si>
  <si>
    <t xml:space="preserve">CARE RATINGS — PUBLISHED FIGURES &amp; DISCLOSURES (press release 30-Jun-2026)</t>
  </si>
  <si>
    <t xml:space="preserve">Total operating income (CARE)</t>
  </si>
  <si>
    <t xml:space="preserve">CARE Ratings press release, M M Forgings Ltd, 30-Jun-2026</t>
  </si>
  <si>
    <t xml:space="preserve">PBILDT (CARE)</t>
  </si>
  <si>
    <t xml:space="preserve">PAT (CARE)</t>
  </si>
  <si>
    <t xml:space="preserve">Overall gearing (CARE)</t>
  </si>
  <si>
    <t xml:space="preserve">Interest coverage (CARE table)</t>
  </si>
  <si>
    <t xml:space="preserve">Liquid investments + cash &amp; bank</t>
  </si>
  <si>
    <t xml:space="preserve">Total debt / PBILDT (CARE text)</t>
  </si>
  <si>
    <t xml:space="preserve">ROCE (CARE text)</t>
  </si>
  <si>
    <t xml:space="preserve">Term-debt repayment p.a., next 3 yrs — low (₹ Cr)</t>
  </si>
  <si>
    <t xml:space="preserve">Term-debt repayment p.a., next 3 yrs — high (₹ Cr)</t>
  </si>
  <si>
    <t xml:space="preserve">CARE-envisaged cash accruals p.a. — low</t>
  </si>
  <si>
    <t xml:space="preserve">CARE-envisaged cash accruals p.a. — high</t>
  </si>
  <si>
    <t xml:space="preserve">Fund-based WC limit utilisation (12m to May-26)</t>
  </si>
  <si>
    <t xml:space="preserve">Top-10 customer share (9MFY26)</t>
  </si>
  <si>
    <t xml:space="preserve">Commercial-vehicle share of sales (FY25)</t>
  </si>
  <si>
    <t xml:space="preserve">Export share of sales (FY26: US 10%, Europe 20%, others)</t>
  </si>
  <si>
    <t xml:space="preserve">Capex last 3 years (₹ Cr)</t>
  </si>
  <si>
    <t xml:space="preserve">of which debt-funded (₹ Cr)</t>
  </si>
  <si>
    <t xml:space="preserve">Forging capacity, Dec-2025 (MT p.a.)</t>
  </si>
  <si>
    <t xml:space="preserve">CARE upgrade trigger: gearing below</t>
  </si>
  <si>
    <t xml:space="preserve">CARE upgrade trigger: debt/PBILDT below</t>
  </si>
  <si>
    <t xml:space="preserve">CARE upgrade trigger: ROCE above</t>
  </si>
  <si>
    <t xml:space="preserve">CARE downgrade trigger: gross gearing above</t>
  </si>
  <si>
    <t xml:space="preserve">Interest coverage FY26 quoted in CARE text</t>
  </si>
  <si>
    <t xml:space="preserve">MARKET DATA (Screener.in, 18-Sep-2026)</t>
  </si>
  <si>
    <t xml:space="preserve">Market capitalisation (₹ Cr)</t>
  </si>
  <si>
    <t xml:space="preserve">Promoter holding</t>
  </si>
  <si>
    <t xml:space="preserve">Promoter shares pledged</t>
  </si>
  <si>
    <t xml:space="preserve">Screener.in consolidated (data: C-MOTS), accessed 18-Sep-2026; no pledge reported</t>
  </si>
  <si>
    <t xml:space="preserve">QUARTERLY TREND (consolidated, ₹ crore)</t>
  </si>
  <si>
    <t xml:space="preserve">Quarter</t>
  </si>
  <si>
    <t xml:space="preserve">Jun-23</t>
  </si>
  <si>
    <t xml:space="preserve">Sep-23</t>
  </si>
  <si>
    <t xml:space="preserve">Dec-23</t>
  </si>
  <si>
    <t xml:space="preserve">Mar-24</t>
  </si>
  <si>
    <t xml:space="preserve">Jun-24</t>
  </si>
  <si>
    <t xml:space="preserve">Sep-24</t>
  </si>
  <si>
    <t xml:space="preserve">Dec-24</t>
  </si>
  <si>
    <t xml:space="preserve">Mar-25</t>
  </si>
  <si>
    <t xml:space="preserve">Jun-25</t>
  </si>
  <si>
    <t xml:space="preserve">Sep-25</t>
  </si>
  <si>
    <t xml:space="preserve">Dec-25</t>
  </si>
  <si>
    <t xml:space="preserve">Mar-26</t>
  </si>
  <si>
    <t xml:space="preserve">Jun-26</t>
  </si>
  <si>
    <t xml:space="preserve">Sales</t>
  </si>
  <si>
    <t xml:space="preserve">Operating profit (PBILDT)</t>
  </si>
  <si>
    <t xml:space="preserve">Interest</t>
  </si>
  <si>
    <t xml:space="preserve">PAT</t>
  </si>
  <si>
    <t xml:space="preserve">OPM %</t>
  </si>
  <si>
    <t xml:space="preserve">Note: Jun-26 other income of ₹63 Cr is ~10x the quarterly run-rate and tax was ~1%; treated as non-recurring in this analysis pending disclosure.</t>
  </si>
  <si>
    <t xml:space="preserve">FY27E Base Case (analyst estimate)</t>
  </si>
  <si>
    <t xml:space="preserve">Forward view used alongside FY26 actuals, as rating agencies rate on expected performance. Every assumption is blue and justified.</t>
  </si>
  <si>
    <t xml:space="preserve">Assumption</t>
  </si>
  <si>
    <t xml:space="preserve">Value</t>
  </si>
  <si>
    <t xml:space="preserve">Rationale</t>
  </si>
  <si>
    <t xml:space="preserve">Revenue growth FY27E</t>
  </si>
  <si>
    <t xml:space="preserve">Q1FY27 sales +16% YoY (₹420 Cr vs ₹362 Cr); haircut to 8% for CV cyclicality and US tariff uncertainty</t>
  </si>
  <si>
    <t xml:space="preserve">PBILDT margin FY27E</t>
  </si>
  <si>
    <t xml:space="preserve">Q4FY26 18.9%, Q1FY27 17.9%; CARE: margin recovery expected as new presses ramp up</t>
  </si>
  <si>
    <t xml:space="preserve">Other income (recurring) ₹ Cr</t>
  </si>
  <si>
    <t xml:space="preserve">FY26 level; excludes the ₹63 Cr Q1FY27 one-off</t>
  </si>
  <si>
    <t xml:space="preserve">Depreciation ₹ Cr</t>
  </si>
  <si>
    <t xml:space="preserve">Q1FY27 run-rate ₹30 Cr/qtr less ramp</t>
  </si>
  <si>
    <t xml:space="preserve">Average cost of debt</t>
  </si>
  <si>
    <t xml:space="preserve">FY26 interest ₹78 Cr / avg debt ₹1,210 Cr = 6.4%</t>
  </si>
  <si>
    <t xml:space="preserve">Term-debt repayment FY27E ₹ Cr</t>
  </si>
  <si>
    <t xml:space="preserve">Mid-point of CARE-disclosed ₹150–170 Cr</t>
  </si>
  <si>
    <t xml:space="preserve">New debt drawn FY27E ₹ Cr</t>
  </si>
  <si>
    <t xml:space="preserve">Part-funding of ₹230 Cr 16,500T press (company); CARE: new debt capex aligned to repayments</t>
  </si>
  <si>
    <t xml:space="preserve">Tax rate</t>
  </si>
  <si>
    <t xml:space="preserve">Normalised; FY26 14% was below normal</t>
  </si>
  <si>
    <t xml:space="preserve">Dividend ₹ Cr</t>
  </si>
  <si>
    <t xml:space="preserve">FY26 payout ~20% of PAT</t>
  </si>
  <si>
    <t xml:space="preserve">Financial Statement &amp; Ratio Analysis</t>
  </si>
  <si>
    <t xml:space="preserve">FY22–FY26 actual (linked, green) + FY27E base case. Ratios use CARE definitions where stated (PBILDT = operating profit before other income).</t>
  </si>
  <si>
    <t xml:space="preserve">PROFIT &amp; LOSS AND CASH ACCRUALS</t>
  </si>
  <si>
    <t xml:space="preserve">Total operating income</t>
  </si>
  <si>
    <t xml:space="preserve">PBILDT (operating profit)</t>
  </si>
  <si>
    <t xml:space="preserve">PBT</t>
  </si>
  <si>
    <t xml:space="preserve">Gross cash accruals (PAT + depreciation)</t>
  </si>
  <si>
    <t xml:space="preserve">Gross debt (closing)</t>
  </si>
  <si>
    <t xml:space="preserve">Net worth (equity + reserves)</t>
  </si>
  <si>
    <t xml:space="preserve">Liquid investments + cash (CARE)</t>
  </si>
  <si>
    <t xml:space="preserve">Net debt</t>
  </si>
  <si>
    <t xml:space="preserve">Capital employed (net worth + debt)</t>
  </si>
  <si>
    <t xml:space="preserve">Cash from operations</t>
  </si>
  <si>
    <t xml:space="preserve">Capex (CFI, proxy)</t>
  </si>
  <si>
    <t xml:space="preserve">Free cash flow (CFO − capex)</t>
  </si>
  <si>
    <t xml:space="preserve">KEY CREDIT RATIOS</t>
  </si>
  <si>
    <t xml:space="preserve">Revenue growth</t>
  </si>
  <si>
    <t xml:space="preserve">Overall gearing (gross debt / net worth)</t>
  </si>
  <si>
    <t xml:space="preserve">Net gearing</t>
  </si>
  <si>
    <t xml:space="preserve">Total debt / PBILDT</t>
  </si>
  <si>
    <t xml:space="preserve">Interest coverage (PBILDT / interest)</t>
  </si>
  <si>
    <t xml:space="preserve">ROCE (PBIT / avg capital employed)</t>
  </si>
  <si>
    <t xml:space="preserve">ROE (PAT / avg net worth)</t>
  </si>
  <si>
    <t xml:space="preserve">CFO / PBILDT (cash conversion)</t>
  </si>
  <si>
    <t xml:space="preserve">Total debt / CFO (years)</t>
  </si>
  <si>
    <t xml:space="preserve">Cash conversion cycle (days)</t>
  </si>
  <si>
    <t xml:space="preserve">Asset turnover (sales / (NFA + CWIP))</t>
  </si>
  <si>
    <t xml:space="preserve">CWIP as % of gross block proxy (NFA + CWIP)</t>
  </si>
  <si>
    <t xml:space="preserve">Summary metrics</t>
  </si>
  <si>
    <t xml:space="preserve">Revenue CAGR FY23–FY26</t>
  </si>
  <si>
    <t xml:space="preserve">PBILDT CAGR FY23–FY26</t>
  </si>
  <si>
    <t xml:space="preserve">Debt added FY23–FY26 (₹ Cr)</t>
  </si>
  <si>
    <t xml:space="preserve">PBILDT added FY23–FY26 (₹ Cr)</t>
  </si>
  <si>
    <t xml:space="preserve">Cumulative FCF FY23–FY26 (₹ Cr)</t>
  </si>
  <si>
    <t xml:space="preserve">Debt-Service Capacity — FY27E</t>
  </si>
  <si>
    <t xml:space="preserve">Can cash accruals meet ₹150–170 Cr of annual term-debt repayment? Tested with and without the liquid-investment cushion.</t>
  </si>
  <si>
    <t xml:space="preserve">Scenario</t>
  </si>
  <si>
    <t xml:space="preserve">PBILDT</t>
  </si>
  <si>
    <t xml:space="preserve">Tax</t>
  </si>
  <si>
    <t xml:space="preserve">Cash accruals</t>
  </si>
  <si>
    <t xml:space="preserve">Repayment</t>
  </si>
  <si>
    <t xml:space="preserve">DSCR</t>
  </si>
  <si>
    <t xml:space="preserve">Accruals / repayment</t>
  </si>
  <si>
    <t xml:space="preserve">Liquid cover*</t>
  </si>
  <si>
    <t xml:space="preserve">FY26 actual, mid repayment</t>
  </si>
  <si>
    <t xml:space="preserve">FY27E base case</t>
  </si>
  <si>
    <t xml:space="preserve">FY27E: PBILDT −15% (CV downturn)</t>
  </si>
  <si>
    <t xml:space="preserve">FY27E: PBILDT −25%, repayment at high end</t>
  </si>
  <si>
    <t xml:space="preserve">FY27E: PBILDT −25%, rates +200 bps, high repayment</t>
  </si>
  <si>
    <t xml:space="preserve">* Liquid cover = (cash accruals + ₹225 Cr liquid investments &amp; cash) / repayment. DSCR here = (cash accruals + interest) / (interest + repayment), using all interest incl. working-capital interest — conservative.</t>
  </si>
  <si>
    <t xml:space="preserve">PBILDT decline that takes accruals/repayment to 1.0x (FY27E, pre-tax approx.)</t>
  </si>
  <si>
    <t xml:space="preserve">Credit Rating Scorecard — M M Forgings</t>
  </si>
  <si>
    <t xml:space="preserve">Same hybrid methodology as the SVF case, recalibrated for a listed mid-corporate. Financial metrics blend FY26 actual (60%) and FY27E base (40%).</t>
  </si>
  <si>
    <t xml:space="preserve">Debt basis for leverage metrics (Gross / Net)</t>
  </si>
  <si>
    <t xml:space="preserve">Gross</t>
  </si>
  <si>
    <t xml:space="preserve">Gross = conservative bank view; Net credits ₹225 Cr liquid investments (CARE's liquidity view)</t>
  </si>
  <si>
    <t xml:space="preserve">Weight on FY26 actual (rest on FY27E)</t>
  </si>
  <si>
    <t xml:space="preserve">Parameter</t>
  </si>
  <si>
    <t xml:space="preserve">Weight</t>
  </si>
  <si>
    <t xml:space="preserve">Blend</t>
  </si>
  <si>
    <t xml:space="preserve">Score</t>
  </si>
  <si>
    <t xml:space="preserve">A. FINANCIAL RISK (50%)</t>
  </si>
  <si>
    <t xml:space="preserve">CARE upgrade trigger &lt; 3.0x</t>
  </si>
  <si>
    <t xml:space="preserve">Overall gearing</t>
  </si>
  <si>
    <t xml:space="preserve">CARE: upgrade &lt; 0.8x; downgrade &gt; 1.5x</t>
  </si>
  <si>
    <t xml:space="preserve">Fell from 6.9x (FY24) as debt-funded capex raised interest</t>
  </si>
  <si>
    <t xml:space="preserve">Cash accruals / term-debt repayment</t>
  </si>
  <si>
    <t xml:space="preserve">Repayment ₹150–170 Cr p.a. (CARE)</t>
  </si>
  <si>
    <t xml:space="preserve">Depressed by ₹335 Cr CWIP not yet earning</t>
  </si>
  <si>
    <t xml:space="preserve">Range-bound 17.6–19.4%</t>
  </si>
  <si>
    <t xml:space="preserve">Operating scale (revenue ₹ Cr)</t>
  </si>
  <si>
    <t xml:space="preserve">Scale supports absorption of fixed costs</t>
  </si>
  <si>
    <t xml:space="preserve">Cash conversion (CFO / PBILDT)</t>
  </si>
  <si>
    <t xml:space="preserve">FY26 actual used for both columns</t>
  </si>
  <si>
    <t xml:space="preserve">B. BUSINESS RISK (25%)</t>
  </si>
  <si>
    <t xml:space="preserve">Track record &amp; market position</t>
  </si>
  <si>
    <t xml:space="preserve">Forging since 1974; two-decade client relationships; 130,000 MTPA capacity</t>
  </si>
  <si>
    <t xml:space="preserve">Product &amp; geographic diversity</t>
  </si>
  <si>
    <t xml:space="preserve">0.1–120 kg parts; ~35% exports (US 10%, Europe 20%)</t>
  </si>
  <si>
    <t xml:space="preserve">Customer concentration</t>
  </si>
  <si>
    <t xml:space="preserve">Top-10 = 62% of TOI (9MFY26), down from 69%</t>
  </si>
  <si>
    <t xml:space="preserve">End-market cyclicality</t>
  </si>
  <si>
    <t xml:space="preserve">~76% commercial vehicles — the most cyclical auto segment</t>
  </si>
  <si>
    <t xml:space="preserve">Raw-material &amp; tariff exposure</t>
  </si>
  <si>
    <t xml:space="preserve">Pass-through clauses with lag; US tariff hit volumes in Q2–Q3 FY26</t>
  </si>
  <si>
    <t xml:space="preserve">C. MANAGEMENT &amp; GOVERNANCE (10%)</t>
  </si>
  <si>
    <t xml:space="preserve">Promoter experience &amp; commitment</t>
  </si>
  <si>
    <t xml:space="preserve">Second-generation MD (IIT Madras), 25+ yrs; promoter holding 56.3%, no pledge</t>
  </si>
  <si>
    <t xml:space="preserve">Governance &amp; disclosure</t>
  </si>
  <si>
    <t xml:space="preserve">Listed; independent directors; regular concalls. CARE text/table ICR mismatch noted</t>
  </si>
  <si>
    <t xml:space="preserve">D. LIQUIDITY &amp; FINANCIAL FLEXIBILITY (15%)</t>
  </si>
  <si>
    <t xml:space="preserve">Liquid investments &amp; cash</t>
  </si>
  <si>
    <t xml:space="preserve">₹225 Cr (Mar-26) ≈ 1.4x one year's repayment</t>
  </si>
  <si>
    <t xml:space="preserve">Working-capital headroom</t>
  </si>
  <si>
    <t xml:space="preserve">Fund-based utilisation ~80% (12m to May-26)</t>
  </si>
  <si>
    <t xml:space="preserve">Access to capital</t>
  </si>
  <si>
    <t xml:space="preserve">Listed, ~₹3,000 Cr market cap; long banking relationships</t>
  </si>
  <si>
    <t xml:space="preserve">Total weight (must = 100%)</t>
  </si>
  <si>
    <t xml:space="preserve">Financial sub-score (/10)</t>
  </si>
  <si>
    <t xml:space="preserve">WEIGHTED SCORE (/10)</t>
  </si>
  <si>
    <t xml:space="preserve">MODEL RATING</t>
  </si>
  <si>
    <t xml:space="preserve">Indicative 1-yr PD (illustrative)</t>
  </si>
  <si>
    <t xml:space="preserve">CARE rating (30-Jun-2026)</t>
  </si>
  <si>
    <t xml:space="preserve">A</t>
  </si>
  <si>
    <t xml:space="preserve">CARE A; Stable / CARE A1 — reaffirmed</t>
  </si>
  <si>
    <t xml:space="preserve">Notch difference (+ = model more conservative)</t>
  </si>
  <si>
    <t xml:space="preserve">Master scale</t>
  </si>
  <si>
    <t xml:space="preserve">Min score</t>
  </si>
  <si>
    <t xml:space="preserve">Grade</t>
  </si>
  <si>
    <t xml:space="preserve">Rank</t>
  </si>
  <si>
    <t xml:space="preserve">PD (illus.)</t>
  </si>
  <si>
    <t xml:space="preserve">Threshold grids (breakpoint → score)</t>
  </si>
  <si>
    <t xml:space="preserve">D</t>
  </si>
  <si>
    <t xml:space="preserve">dpb</t>
  </si>
  <si>
    <t xml:space="preserve">C</t>
  </si>
  <si>
    <t xml:space="preserve">B</t>
  </si>
  <si>
    <t xml:space="preserve">BB-</t>
  </si>
  <si>
    <t xml:space="preserve">gear</t>
  </si>
  <si>
    <t xml:space="preserve">BB</t>
  </si>
  <si>
    <t xml:space="preserve">BB+</t>
  </si>
  <si>
    <t xml:space="preserve">BBB-</t>
  </si>
  <si>
    <t xml:space="preserve">icr</t>
  </si>
  <si>
    <t xml:space="preserve">BBB</t>
  </si>
  <si>
    <t xml:space="preserve">BBB+</t>
  </si>
  <si>
    <t xml:space="preserve">A-</t>
  </si>
  <si>
    <t xml:space="preserve">acc</t>
  </si>
  <si>
    <t xml:space="preserve">A+</t>
  </si>
  <si>
    <t xml:space="preserve">AA</t>
  </si>
  <si>
    <t xml:space="preserve">roce</t>
  </si>
  <si>
    <t xml:space="preserve">PDs illustrative, broadly consistent with long-run Indian CRA default studies by band; not calibrated.</t>
  </si>
  <si>
    <t xml:space="preserve">m</t>
  </si>
  <si>
    <t xml:space="preserve">scale</t>
  </si>
  <si>
    <t xml:space="preserve">cfo</t>
  </si>
  <si>
    <t xml:space="preserve">Notch Bridge — Model Rating to CARE Rating</t>
  </si>
  <si>
    <t xml:space="preserve">Values produced by python/rating_bridge.py, which replicates the Rating sheet in Python (step 1 reproduces the sheet's score exactly) and applies each adjustment cumulatively.</t>
  </si>
  <si>
    <t xml:space="preserve">Cumulative adjustment</t>
  </si>
  <si>
    <t xml:space="preserve">Score /10</t>
  </si>
  <si>
    <t xml:space="preserve">Model as built (gross debt, 60% FY26 / 40% FY27E)</t>
  </si>
  <si>
    <t xml:space="preserve">+ Net off ₹225 Cr liquid investments</t>
  </si>
  <si>
    <t xml:space="preserve">+ Adopt CARE's narrower debt definition (~₹160 Cr lower)</t>
  </si>
  <si>
    <t xml:space="preserve">+ Rate purely on FY27E (forward-looking, as CRAs do)</t>
  </si>
  <si>
    <t xml:space="preserve">+ Use CARE's envisaged accruals (mid-point ₹290 Cr)</t>
  </si>
  <si>
    <t xml:space="preserve">Check: step 1 equals Rating sheet score</t>
  </si>
  <si>
    <t xml:space="preserve">Reading: even after crediting liquidity, CARE's debt definition and CARE's own accrual expectation, the scorecard reaches A-, one notch below CARE's A.</t>
  </si>
  <si>
    <t xml:space="preserve">The residual notch reflects weight CARE places on 50-year track record, scale and management's capex-completion guidance that an outside analyst cannot verify.</t>
  </si>
  <si>
    <t xml:space="preserve">Analyst view: CARE A is defensible but has limited headroom. It depends on accruals rising to ~₹290 Cr; FY26 accruals were ₹202 Cr.</t>
  </si>
  <si>
    <t xml:space="preserve">Benchmarking Against CARE Ratings</t>
  </si>
  <si>
    <t xml:space="preserve">Reconciles our computed figures to CARE's published numbers and measures the distance to CARE's stated upgrade / downgrade triggers.</t>
  </si>
  <si>
    <t xml:space="preserve">Metric (FY26)</t>
  </si>
  <si>
    <t xml:space="preserve">Our figure</t>
  </si>
  <si>
    <t xml:space="preserve">CARE figure</t>
  </si>
  <si>
    <t xml:space="preserve">Difference</t>
  </si>
  <si>
    <t xml:space="preserve">Status</t>
  </si>
  <si>
    <t xml:space="preserve">Comment</t>
  </si>
  <si>
    <t xml:space="preserve">Screener rounds to ₹ Cr</t>
  </si>
  <si>
    <t xml:space="preserve">CARE's own text quotes 3.98x vs 3.58x in its table — the table reconciles to PBILDT/interest</t>
  </si>
  <si>
    <t xml:space="preserve">FY24–FY25 reconcile; FY26 gap implies CARE counts ~₹160 Cr less debt (likely classification, e.g. leases/acceptances). We keep the higher, conservative figure</t>
  </si>
  <si>
    <t xml:space="preserve">Same debt-definition gap as gearing</t>
  </si>
  <si>
    <t xml:space="preserve">Definitions differ slightly (avg vs closing capital employed)</t>
  </si>
  <si>
    <t xml:space="preserve">Implied CARE debt (gearing × our net worth)</t>
  </si>
  <si>
    <t xml:space="preserve">Implied CARE debt (debt/PBILDT × PBILDT)</t>
  </si>
  <si>
    <t xml:space="preserve">CARE trigger</t>
  </si>
  <si>
    <t xml:space="preserve">Threshold</t>
  </si>
  <si>
    <t xml:space="preserve">Met?</t>
  </si>
  <si>
    <t xml:space="preserve">Distance (FY27E)</t>
  </si>
  <si>
    <t xml:space="preserve">Upgrade: gearing below</t>
  </si>
  <si>
    <t xml:space="preserve">Upgrade: debt / PBILDT below</t>
  </si>
  <si>
    <t xml:space="preserve">Upgrade: ROCE above</t>
  </si>
  <si>
    <t xml:space="preserve">Downgrade: gross gearing above</t>
  </si>
  <si>
    <t xml:space="preserve">Debt reduction needed for debt/PBILDT &lt; 3.0x at FY27E PBILDT (₹ Cr)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</si>
</sst>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+0;\-0;0"/>
    <numFmt numFmtId="166" formatCode="0.00"/>
    <numFmt numFmtId="167" formatCode="0.00%"/>
    <numFmt numFmtId="168" formatCode="0.00\x;\(0.00&quot;x)&quot;;\-"/>
    <numFmt numFmtId="169" formatCode="0.0%;\(0.0%\);\-"/>
    <numFmt numFmtId="170" formatCode="#,##0;\(#,##0\);\-"/>
    <numFmt numFmtId="171" formatCode="#,##0.0;\(#,##0.0\);\-"/>
    <numFmt numFmtId="172" formatCode="0"/>
    <numFmt numFmtId="173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</font>
    </dxf>
    <dxf>
      <font>
        <b val="1"/>
        <color rgb="FFC65911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C65911"/>
      <rgbColor rgb="FF595959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Debt vs PBILDT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Dashboard!A19</c:f>
              <c:strCache>
                <c:ptCount val="1"/>
                <c:pt idx="0">
                  <c:v>Gross debt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Dashboard!$B$18:$G$18</c:f>
              <c:strCache>
                <c:ptCount val="6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FY27E</c:v>
                </c:pt>
              </c:strCache>
            </c:strRef>
          </c:cat>
          <c:val>
            <c:numRef>
              <c:f>Dashboard!$B$19:$G$19</c:f>
              <c:numCache>
                <c:formatCode>0.00</c:formatCode>
                <c:ptCount val="6"/>
                <c:pt idx="0">
                  <c:v>685</c:v>
                </c:pt>
                <c:pt idx="1">
                  <c:v>756</c:v>
                </c:pt>
                <c:pt idx="2">
                  <c:v>931</c:v>
                </c:pt>
                <c:pt idx="3">
                  <c:v>1185</c:v>
                </c:pt>
                <c:pt idx="4">
                  <c:v>1235</c:v>
                </c:pt>
                <c:pt idx="5">
                  <c:v>1175</c:v>
                </c:pt>
              </c:numCache>
            </c:numRef>
          </c:val>
        </c:ser>
        <c:ser>
          <c:idx val="1"/>
          <c:order val="1"/>
          <c:tx>
            <c:strRef>
              <c:f>Dashboard!A20</c:f>
              <c:strCache>
                <c:ptCount val="1"/>
                <c:pt idx="0">
                  <c:v>PBILDT (₹ Cr)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Dashboard!$B$18:$G$18</c:f>
              <c:strCache>
                <c:ptCount val="6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FY27E</c:v>
                </c:pt>
              </c:strCache>
            </c:strRef>
          </c:cat>
          <c:val>
            <c:numRef>
              <c:f>Dashboard!$B$20:$G$20</c:f>
              <c:numCache>
                <c:formatCode>0.00</c:formatCode>
                <c:ptCount val="6"/>
                <c:pt idx="0">
                  <c:v>209</c:v>
                </c:pt>
                <c:pt idx="1">
                  <c:v>273</c:v>
                </c:pt>
                <c:pt idx="2">
                  <c:v>293</c:v>
                </c:pt>
                <c:pt idx="3">
                  <c:v>296</c:v>
                </c:pt>
                <c:pt idx="4">
                  <c:v>280</c:v>
                </c:pt>
                <c:pt idx="5">
                  <c:v>309.096</c:v>
                </c:pt>
              </c:numCache>
            </c:numRef>
          </c:val>
        </c:ser>
        <c:gapWidth val="150"/>
        <c:overlap val="0"/>
        <c:axId val="82181693"/>
        <c:axId val="75558837"/>
      </c:barChart>
      <c:catAx>
        <c:axId val="821816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58837"/>
        <c:crosses val="autoZero"/>
        <c:auto val="1"/>
        <c:lblAlgn val="ctr"/>
        <c:lblOffset val="100"/>
        <c:noMultiLvlLbl val="0"/>
      </c:catAx>
      <c:valAx>
        <c:axId val="755588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816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Leverage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Dashboard!A21</c:f>
              <c:strCache>
                <c:ptCount val="1"/>
                <c:pt idx="0">
                  <c:v>Debt / PBILDT (x)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Dashboard!$B$18:$G$18</c:f>
              <c:strCache>
                <c:ptCount val="6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FY27E</c:v>
                </c:pt>
              </c:strCache>
            </c:strRef>
          </c:cat>
          <c:val>
            <c:numRef>
              <c:f>Dashboard!$B$21:$G$21</c:f>
              <c:numCache>
                <c:formatCode>0.00</c:formatCode>
                <c:ptCount val="6"/>
                <c:pt idx="0">
                  <c:v>3.27751196172249</c:v>
                </c:pt>
                <c:pt idx="1">
                  <c:v>2.76923076923077</c:v>
                </c:pt>
                <c:pt idx="2">
                  <c:v>3.17747440273038</c:v>
                </c:pt>
                <c:pt idx="3">
                  <c:v>4.00337837837838</c:v>
                </c:pt>
                <c:pt idx="4">
                  <c:v>4.41071428571429</c:v>
                </c:pt>
                <c:pt idx="5">
                  <c:v>3.80140797680979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Dashboard!A22</c:f>
              <c:strCache>
                <c:ptCount val="1"/>
                <c:pt idx="0">
                  <c:v>Gearing (x)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Dashboard!$B$18:$G$18</c:f>
              <c:strCache>
                <c:ptCount val="6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FY27E</c:v>
                </c:pt>
              </c:strCache>
            </c:strRef>
          </c:cat>
          <c:val>
            <c:numRef>
              <c:f>Dashboard!$B$22:$G$22</c:f>
              <c:numCache>
                <c:formatCode>0.00</c:formatCode>
                <c:ptCount val="6"/>
                <c:pt idx="0">
                  <c:v>1.22540250447227</c:v>
                </c:pt>
                <c:pt idx="1">
                  <c:v>1.12332838038633</c:v>
                </c:pt>
                <c:pt idx="2">
                  <c:v>1.17997465145754</c:v>
                </c:pt>
                <c:pt idx="3">
                  <c:v>1.32698768197088</c:v>
                </c:pt>
                <c:pt idx="4">
                  <c:v>1.26666666666667</c:v>
                </c:pt>
                <c:pt idx="5">
                  <c:v>1.11736810836474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035082"/>
        <c:axId val="20441178"/>
      </c:lineChart>
      <c:catAx>
        <c:axId val="140350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41178"/>
        <c:crosses val="autoZero"/>
        <c:auto val="1"/>
        <c:lblAlgn val="ctr"/>
        <c:lblOffset val="100"/>
        <c:noMultiLvlLbl val="0"/>
      </c:catAx>
      <c:valAx>
        <c:axId val="20441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350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131040</xdr:rowOff>
    </xdr:from>
    <xdr:to>
      <xdr:col>3</xdr:col>
      <xdr:colOff>958320</xdr:colOff>
      <xdr:row>35</xdr:row>
      <xdr:rowOff>173160</xdr:rowOff>
    </xdr:to>
    <xdr:graphicFrame>
      <xdr:nvGraphicFramePr>
        <xdr:cNvPr id="0" name="Chart 1"/>
        <xdr:cNvGraphicFramePr/>
      </xdr:nvGraphicFramePr>
      <xdr:xfrm>
        <a:off x="0" y="4379040"/>
        <a:ext cx="539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22</xdr:row>
      <xdr:rowOff>131040</xdr:rowOff>
    </xdr:from>
    <xdr:to>
      <xdr:col>7</xdr:col>
      <xdr:colOff>42120</xdr:colOff>
      <xdr:row>35</xdr:row>
      <xdr:rowOff>173160</xdr:rowOff>
    </xdr:to>
    <xdr:graphicFrame>
      <xdr:nvGraphicFramePr>
        <xdr:cNvPr id="1" name="Chart 2"/>
        <xdr:cNvGraphicFramePr/>
      </xdr:nvGraphicFramePr>
      <xdr:xfrm>
        <a:off x="4440600" y="4379040"/>
        <a:ext cx="539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3"/>
    <col collapsed="false" customWidth="true" hidden="false" outlineLevel="0" max="4" min="4" style="1" width="40"/>
    <col collapsed="false" customWidth="true" hidden="false" outlineLevel="0" max="5" min="5" style="1" width="16"/>
    <col collapsed="false" customWidth="true" hidden="false" outlineLevel="0" max="7" min="6" style="1" width="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D4" s="4" t="s">
        <v>3</v>
      </c>
      <c r="E4" s="5"/>
    </row>
    <row r="5" customFormat="false" ht="15" hidden="false" customHeight="true" outlineLevel="0" collapsed="false">
      <c r="A5" s="6" t="s">
        <v>4</v>
      </c>
      <c r="B5" s="7" t="str">
        <f aca="false">Rating!F33</f>
        <v>BBB</v>
      </c>
      <c r="D5" s="6" t="s">
        <v>5</v>
      </c>
      <c r="E5" s="8" t="str">
        <f aca="false">TEXT(Analysis!$F$6,"#,##0")&amp;" → "&amp;TEXT(Analysis!$G$6,"#,##0")</f>
        <v>1,590 → 1,717</v>
      </c>
    </row>
    <row r="6" customFormat="false" ht="15" hidden="false" customHeight="true" outlineLevel="0" collapsed="false">
      <c r="A6" s="6" t="s">
        <v>6</v>
      </c>
      <c r="B6" s="9" t="str">
        <f aca="false">"CARE A; Stable"</f>
        <v>CARE A; Stable</v>
      </c>
      <c r="D6" s="6" t="s">
        <v>7</v>
      </c>
      <c r="E6" s="8" t="str">
        <f aca="false">TEXT(Analysis!$F$8,"0.0%")&amp;" → "&amp;TEXT(Analysis!$G$8,"0.0%")</f>
        <v>17.6% → 18.0%</v>
      </c>
    </row>
    <row r="7" customFormat="false" ht="15" hidden="false" customHeight="true" outlineLevel="0" collapsed="false">
      <c r="A7" s="6" t="s">
        <v>8</v>
      </c>
      <c r="B7" s="10" t="n">
        <f aca="false">Rating!F36</f>
        <v>3</v>
      </c>
      <c r="D7" s="6" t="s">
        <v>9</v>
      </c>
      <c r="E7" s="8" t="str">
        <f aca="false">TEXT(Analysis!$F$15,"#,##0")&amp;" → "&amp;TEXT(Analysis!$G$15,"#,##0")</f>
        <v>1,235 → 1,175</v>
      </c>
    </row>
    <row r="8" customFormat="false" ht="15" hidden="false" customHeight="true" outlineLevel="0" collapsed="false">
      <c r="A8" s="6" t="s">
        <v>10</v>
      </c>
      <c r="B8" s="11" t="n">
        <f aca="false">Rating!F32</f>
        <v>6.52</v>
      </c>
      <c r="D8" s="6" t="s">
        <v>11</v>
      </c>
      <c r="E8" s="8" t="str">
        <f aca="false">TEXT(Analysis!$F$26,"0.00""x""")&amp;" → "&amp;TEXT(Analysis!$G$26,"0.00""x""")</f>
        <v>1.27x → 1.12x</v>
      </c>
    </row>
    <row r="9" customFormat="false" ht="15" hidden="false" customHeight="true" outlineLevel="0" collapsed="false">
      <c r="A9" s="6" t="s">
        <v>12</v>
      </c>
      <c r="B9" s="11" t="n">
        <f aca="false">Rating!F31</f>
        <v>6.04</v>
      </c>
      <c r="D9" s="6" t="s">
        <v>13</v>
      </c>
      <c r="E9" s="8" t="str">
        <f aca="false">TEXT(Analysis!$F$28,"0.00""x""")&amp;" → "&amp;TEXT(Analysis!$G$28,"0.00""x""")</f>
        <v>4.41x → 3.80x</v>
      </c>
    </row>
    <row r="10" customFormat="false" ht="15" hidden="false" customHeight="true" outlineLevel="0" collapsed="false">
      <c r="A10" s="6" t="s">
        <v>14</v>
      </c>
      <c r="B10" s="12" t="n">
        <f aca="false">Rating!F34</f>
        <v>0.01</v>
      </c>
      <c r="D10" s="6" t="s">
        <v>15</v>
      </c>
      <c r="E10" s="8" t="str">
        <f aca="false">TEXT(Analysis!$F$29,"0.00""x""")&amp;" → "&amp;TEXT(Analysis!$G$29,"0.00""x""")</f>
        <v>3.61x → 3.07x</v>
      </c>
    </row>
    <row r="11" customFormat="false" ht="15" hidden="false" customHeight="true" outlineLevel="0" collapsed="false">
      <c r="A11" s="6" t="s">
        <v>16</v>
      </c>
      <c r="B11" s="9" t="str">
        <f aca="false">Rating!C3</f>
        <v>Gross</v>
      </c>
      <c r="D11" s="6" t="s">
        <v>17</v>
      </c>
      <c r="E11" s="8" t="str">
        <f aca="false">TEXT(Analysis!$F$30,"0.00""x""")&amp;" → "&amp;TEXT(Analysis!$G$30,"0.00""x""")</f>
        <v>3.59x → 3.95x</v>
      </c>
    </row>
    <row r="12" customFormat="false" ht="15" hidden="false" customHeight="true" outlineLevel="0" collapsed="false">
      <c r="A12" s="6" t="s">
        <v>18</v>
      </c>
      <c r="B12" s="13" t="n">
        <f aca="false">Debt_Service!G6</f>
        <v>1.22900765761041</v>
      </c>
      <c r="D12" s="6" t="s">
        <v>19</v>
      </c>
      <c r="E12" s="8" t="str">
        <f aca="false">TEXT(Analysis!$F$31,"0.0%")&amp;" → "&amp;TEXT(Analysis!$G$31,"0.0%")</f>
        <v>9.0% → 9.3%</v>
      </c>
    </row>
    <row r="13" customFormat="false" ht="15" hidden="false" customHeight="true" outlineLevel="0" collapsed="false">
      <c r="A13" s="6" t="s">
        <v>20</v>
      </c>
      <c r="B13" s="13" t="n">
        <f aca="false">Debt_Service!G9</f>
        <v>0.88594776050768</v>
      </c>
      <c r="D13" s="6" t="s">
        <v>21</v>
      </c>
      <c r="E13" s="8" t="str">
        <f aca="false">TEXT(Analysis!$F$14,"#,##0")&amp;" → "&amp;TEXT(Analysis!$G$14,"#,##0")</f>
        <v>202 → 215</v>
      </c>
    </row>
    <row r="14" customFormat="false" ht="15" hidden="false" customHeight="true" outlineLevel="0" collapsed="false">
      <c r="A14" s="6" t="s">
        <v>22</v>
      </c>
      <c r="B14" s="14" t="n">
        <f aca="false">Debt_Service!G13</f>
        <v>0.235431710536532</v>
      </c>
    </row>
    <row r="17" customFormat="false" ht="15" hidden="false" customHeight="true" outlineLevel="0" collapsed="false">
      <c r="A17" s="3" t="s">
        <v>23</v>
      </c>
    </row>
    <row r="18" customFormat="false" ht="15" hidden="false" customHeight="true" outlineLevel="0" collapsed="false">
      <c r="A18" s="9" t="s">
        <v>24</v>
      </c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</row>
    <row r="19" customFormat="false" ht="15" hidden="false" customHeight="true" outlineLevel="0" collapsed="false">
      <c r="A19" s="6" t="s">
        <v>9</v>
      </c>
      <c r="B19" s="15" t="n">
        <f aca="false">Analysis!$B$15</f>
        <v>685</v>
      </c>
      <c r="C19" s="15" t="n">
        <f aca="false">Analysis!$C$15</f>
        <v>756</v>
      </c>
      <c r="D19" s="15" t="n">
        <f aca="false">Analysis!$D$15</f>
        <v>931</v>
      </c>
      <c r="E19" s="15" t="n">
        <f aca="false">Analysis!$E$15</f>
        <v>1185</v>
      </c>
      <c r="F19" s="15" t="n">
        <f aca="false">Analysis!$F$15</f>
        <v>1235</v>
      </c>
      <c r="G19" s="15" t="n">
        <f aca="false">Analysis!$G$15</f>
        <v>1175</v>
      </c>
    </row>
    <row r="20" customFormat="false" ht="15" hidden="false" customHeight="true" outlineLevel="0" collapsed="false">
      <c r="A20" s="6" t="s">
        <v>31</v>
      </c>
      <c r="B20" s="15" t="n">
        <f aca="false">Analysis!$B$7</f>
        <v>209</v>
      </c>
      <c r="C20" s="15" t="n">
        <f aca="false">Analysis!$C$7</f>
        <v>273</v>
      </c>
      <c r="D20" s="15" t="n">
        <f aca="false">Analysis!$D$7</f>
        <v>293</v>
      </c>
      <c r="E20" s="15" t="n">
        <f aca="false">Analysis!$E$7</f>
        <v>296</v>
      </c>
      <c r="F20" s="15" t="n">
        <f aca="false">Analysis!$F$7</f>
        <v>280</v>
      </c>
      <c r="G20" s="15" t="n">
        <f aca="false">Analysis!$G$7</f>
        <v>309.096</v>
      </c>
    </row>
    <row r="21" customFormat="false" ht="15" hidden="false" customHeight="true" outlineLevel="0" collapsed="false">
      <c r="A21" s="6" t="s">
        <v>32</v>
      </c>
      <c r="B21" s="15" t="n">
        <f aca="false">Analysis!$B$28</f>
        <v>3.27751196172249</v>
      </c>
      <c r="C21" s="15" t="n">
        <f aca="false">Analysis!$C$28</f>
        <v>2.76923076923077</v>
      </c>
      <c r="D21" s="15" t="n">
        <f aca="false">Analysis!$D$28</f>
        <v>3.17747440273038</v>
      </c>
      <c r="E21" s="15" t="n">
        <f aca="false">Analysis!$E$28</f>
        <v>4.00337837837838</v>
      </c>
      <c r="F21" s="15" t="n">
        <f aca="false">Analysis!$F$28</f>
        <v>4.41071428571429</v>
      </c>
      <c r="G21" s="15" t="n">
        <f aca="false">Analysis!$G$28</f>
        <v>3.80140797680979</v>
      </c>
    </row>
    <row r="22" customFormat="false" ht="15" hidden="false" customHeight="true" outlineLevel="0" collapsed="false">
      <c r="A22" s="6" t="s">
        <v>33</v>
      </c>
      <c r="B22" s="15" t="n">
        <f aca="false">Analysis!$B$26</f>
        <v>1.22540250447227</v>
      </c>
      <c r="C22" s="15" t="n">
        <f aca="false">Analysis!$C$26</f>
        <v>1.12332838038633</v>
      </c>
      <c r="D22" s="15" t="n">
        <f aca="false">Analysis!$D$26</f>
        <v>1.17997465145754</v>
      </c>
      <c r="E22" s="15" t="n">
        <f aca="false">Analysis!$E$26</f>
        <v>1.32698768197088</v>
      </c>
      <c r="F22" s="15" t="n">
        <f aca="false">Analysis!$F$26</f>
        <v>1.26666666666667</v>
      </c>
      <c r="G22" s="15" t="n">
        <f aca="false">Analysis!$G$26</f>
        <v>1.11736810836474</v>
      </c>
    </row>
    <row r="40" customFormat="false" ht="15" hidden="false" customHeight="true" outlineLevel="0" collapsed="false">
      <c r="A40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11"/>
    <col collapsed="false" customWidth="true" hidden="false" outlineLevel="0" max="8" min="8" style="1" width="60"/>
    <col collapsed="false" customWidth="true" hidden="false" outlineLevel="0" max="16" min="9" style="1" width="11"/>
  </cols>
  <sheetData>
    <row r="1" customFormat="false" ht="17.25" hidden="false" customHeight="true" outlineLevel="0" collapsed="false">
      <c r="A1" s="16" t="s">
        <v>35</v>
      </c>
    </row>
    <row r="2" customFormat="false" ht="15" hidden="false" customHeight="true" outlineLevel="0" collapsed="false">
      <c r="A2" s="3" t="s">
        <v>36</v>
      </c>
    </row>
    <row r="4" customFormat="false" ht="15" hidden="false" customHeight="true" outlineLevel="0" collapsed="false">
      <c r="A4" s="17" t="s">
        <v>37</v>
      </c>
      <c r="B4" s="17" t="s">
        <v>25</v>
      </c>
      <c r="C4" s="17" t="s">
        <v>26</v>
      </c>
      <c r="D4" s="17" t="s">
        <v>27</v>
      </c>
      <c r="E4" s="17" t="s">
        <v>28</v>
      </c>
      <c r="F4" s="17" t="s">
        <v>29</v>
      </c>
      <c r="H4" s="17" t="s">
        <v>38</v>
      </c>
    </row>
    <row r="5" customFormat="false" ht="15" hidden="false" customHeight="true" outlineLevel="0" collapsed="false">
      <c r="A5" s="4" t="s">
        <v>39</v>
      </c>
      <c r="B5" s="5"/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A6" s="6" t="s">
        <v>40</v>
      </c>
      <c r="B6" s="18" t="n">
        <v>1140</v>
      </c>
      <c r="C6" s="18" t="n">
        <v>1462</v>
      </c>
      <c r="D6" s="18" t="n">
        <v>1563</v>
      </c>
      <c r="E6" s="18" t="n">
        <v>1525</v>
      </c>
      <c r="F6" s="18" t="n">
        <v>1590</v>
      </c>
      <c r="H6" s="3" t="s">
        <v>41</v>
      </c>
    </row>
    <row r="7" customFormat="false" ht="15" hidden="false" customHeight="true" outlineLevel="0" collapsed="false">
      <c r="A7" s="6" t="s">
        <v>42</v>
      </c>
      <c r="B7" s="18" t="n">
        <v>931</v>
      </c>
      <c r="C7" s="18" t="n">
        <v>1189</v>
      </c>
      <c r="D7" s="18" t="n">
        <v>1270</v>
      </c>
      <c r="E7" s="18" t="n">
        <v>1229</v>
      </c>
      <c r="F7" s="18" t="n">
        <v>1310</v>
      </c>
      <c r="H7" s="3" t="s">
        <v>41</v>
      </c>
    </row>
    <row r="8" customFormat="false" ht="15" hidden="false" customHeight="true" outlineLevel="0" collapsed="false">
      <c r="A8" s="6" t="s">
        <v>43</v>
      </c>
      <c r="B8" s="18" t="n">
        <v>16</v>
      </c>
      <c r="C8" s="18" t="n">
        <v>12</v>
      </c>
      <c r="D8" s="18" t="n">
        <v>22</v>
      </c>
      <c r="E8" s="18" t="n">
        <v>23</v>
      </c>
      <c r="F8" s="18" t="n">
        <v>16</v>
      </c>
      <c r="H8" s="3" t="s">
        <v>41</v>
      </c>
    </row>
    <row r="9" customFormat="false" ht="15" hidden="false" customHeight="true" outlineLevel="0" collapsed="false">
      <c r="A9" s="6" t="s">
        <v>44</v>
      </c>
      <c r="B9" s="18" t="n">
        <v>28</v>
      </c>
      <c r="C9" s="18" t="n">
        <v>30</v>
      </c>
      <c r="D9" s="18" t="n">
        <v>42</v>
      </c>
      <c r="E9" s="18" t="n">
        <v>60</v>
      </c>
      <c r="F9" s="18" t="n">
        <v>78</v>
      </c>
      <c r="H9" s="3" t="s">
        <v>41</v>
      </c>
    </row>
    <row r="10" customFormat="false" ht="15" hidden="false" customHeight="true" outlineLevel="0" collapsed="false">
      <c r="A10" s="6" t="s">
        <v>45</v>
      </c>
      <c r="B10" s="18" t="n">
        <v>68</v>
      </c>
      <c r="C10" s="18" t="n">
        <v>79</v>
      </c>
      <c r="D10" s="18" t="n">
        <v>83</v>
      </c>
      <c r="E10" s="18" t="n">
        <v>93</v>
      </c>
      <c r="F10" s="18" t="n">
        <v>103</v>
      </c>
      <c r="H10" s="3" t="s">
        <v>41</v>
      </c>
    </row>
    <row r="11" customFormat="false" ht="15" hidden="false" customHeight="true" outlineLevel="0" collapsed="false">
      <c r="A11" s="6" t="s">
        <v>46</v>
      </c>
      <c r="B11" s="18" t="n">
        <v>129</v>
      </c>
      <c r="C11" s="18" t="n">
        <v>177</v>
      </c>
      <c r="D11" s="18" t="n">
        <v>189</v>
      </c>
      <c r="E11" s="18" t="n">
        <v>166</v>
      </c>
      <c r="F11" s="18" t="n">
        <v>115</v>
      </c>
      <c r="H11" s="3" t="s">
        <v>41</v>
      </c>
    </row>
    <row r="12" customFormat="false" ht="15" hidden="false" customHeight="true" outlineLevel="0" collapsed="false">
      <c r="A12" s="6" t="s">
        <v>47</v>
      </c>
      <c r="B12" s="18" t="n">
        <v>91</v>
      </c>
      <c r="C12" s="18" t="n">
        <v>128</v>
      </c>
      <c r="D12" s="18" t="n">
        <v>135</v>
      </c>
      <c r="E12" s="18" t="n">
        <v>123</v>
      </c>
      <c r="F12" s="18" t="n">
        <v>99</v>
      </c>
      <c r="H12" s="3" t="s">
        <v>41</v>
      </c>
    </row>
    <row r="13" customFormat="false" ht="15" hidden="false" customHeight="true" outlineLevel="0" collapsed="false">
      <c r="A13" s="6" t="s">
        <v>48</v>
      </c>
      <c r="B13" s="19" t="n">
        <v>0.16</v>
      </c>
      <c r="C13" s="19" t="n">
        <v>0.11</v>
      </c>
      <c r="D13" s="19" t="n">
        <v>0.14</v>
      </c>
      <c r="E13" s="19" t="n">
        <v>0.16</v>
      </c>
      <c r="F13" s="19" t="n">
        <v>0.2</v>
      </c>
      <c r="H13" s="3" t="s">
        <v>41</v>
      </c>
    </row>
    <row r="14" customFormat="false" ht="15" hidden="false" customHeight="true" outlineLevel="0" collapsed="false">
      <c r="A14" s="4" t="s">
        <v>49</v>
      </c>
      <c r="B14" s="5"/>
      <c r="C14" s="5"/>
      <c r="D14" s="5"/>
      <c r="E14" s="5"/>
      <c r="F14" s="5"/>
      <c r="G14" s="5"/>
      <c r="H14" s="5"/>
    </row>
    <row r="15" customFormat="false" ht="15" hidden="false" customHeight="true" outlineLevel="0" collapsed="false">
      <c r="A15" s="6" t="s">
        <v>50</v>
      </c>
      <c r="B15" s="18" t="n">
        <v>24</v>
      </c>
      <c r="C15" s="18" t="n">
        <v>24</v>
      </c>
      <c r="D15" s="18" t="n">
        <v>24</v>
      </c>
      <c r="E15" s="18" t="n">
        <v>48</v>
      </c>
      <c r="F15" s="18" t="n">
        <v>48</v>
      </c>
      <c r="H15" s="3" t="s">
        <v>41</v>
      </c>
    </row>
    <row r="16" customFormat="false" ht="15" hidden="false" customHeight="true" outlineLevel="0" collapsed="false">
      <c r="A16" s="6" t="s">
        <v>51</v>
      </c>
      <c r="B16" s="18" t="n">
        <v>535</v>
      </c>
      <c r="C16" s="18" t="n">
        <v>649</v>
      </c>
      <c r="D16" s="18" t="n">
        <v>765</v>
      </c>
      <c r="E16" s="18" t="n">
        <v>845</v>
      </c>
      <c r="F16" s="18" t="n">
        <v>927</v>
      </c>
      <c r="H16" s="3" t="s">
        <v>41</v>
      </c>
    </row>
    <row r="17" customFormat="false" ht="15" hidden="false" customHeight="true" outlineLevel="0" collapsed="false">
      <c r="A17" s="6" t="s">
        <v>52</v>
      </c>
      <c r="B17" s="18" t="n">
        <v>685</v>
      </c>
      <c r="C17" s="18" t="n">
        <v>756</v>
      </c>
      <c r="D17" s="18" t="n">
        <v>931</v>
      </c>
      <c r="E17" s="18" t="n">
        <v>1185</v>
      </c>
      <c r="F17" s="18" t="n">
        <v>1235</v>
      </c>
      <c r="H17" s="3" t="s">
        <v>41</v>
      </c>
    </row>
    <row r="18" customFormat="false" ht="15" hidden="false" customHeight="true" outlineLevel="0" collapsed="false">
      <c r="A18" s="6" t="s">
        <v>53</v>
      </c>
      <c r="B18" s="18" t="n">
        <v>170</v>
      </c>
      <c r="C18" s="18" t="n">
        <v>232</v>
      </c>
      <c r="D18" s="18" t="n">
        <v>249</v>
      </c>
      <c r="E18" s="18" t="n">
        <v>271</v>
      </c>
      <c r="F18" s="18" t="n">
        <v>286</v>
      </c>
      <c r="H18" s="3" t="s">
        <v>41</v>
      </c>
    </row>
    <row r="19" customFormat="false" ht="15" hidden="false" customHeight="true" outlineLevel="0" collapsed="false">
      <c r="A19" s="6" t="s">
        <v>54</v>
      </c>
      <c r="B19" s="18" t="n">
        <v>708</v>
      </c>
      <c r="C19" s="18" t="n">
        <v>804</v>
      </c>
      <c r="D19" s="18" t="n">
        <v>914</v>
      </c>
      <c r="E19" s="18" t="n">
        <v>964</v>
      </c>
      <c r="F19" s="18" t="n">
        <v>1101</v>
      </c>
      <c r="H19" s="3" t="s">
        <v>41</v>
      </c>
    </row>
    <row r="20" customFormat="false" ht="15" hidden="false" customHeight="true" outlineLevel="0" collapsed="false">
      <c r="A20" s="6" t="s">
        <v>55</v>
      </c>
      <c r="B20" s="18" t="n">
        <v>36</v>
      </c>
      <c r="C20" s="18" t="n">
        <v>63</v>
      </c>
      <c r="D20" s="18" t="n">
        <v>124</v>
      </c>
      <c r="E20" s="18" t="n">
        <v>383</v>
      </c>
      <c r="F20" s="18" t="n">
        <v>335</v>
      </c>
      <c r="H20" s="3" t="s">
        <v>41</v>
      </c>
    </row>
    <row r="21" customFormat="false" ht="15" hidden="false" customHeight="true" outlineLevel="0" collapsed="false">
      <c r="A21" s="6" t="s">
        <v>56</v>
      </c>
      <c r="B21" s="18" t="n">
        <v>22</v>
      </c>
      <c r="C21" s="18" t="n">
        <v>22</v>
      </c>
      <c r="D21" s="18" t="n">
        <v>23</v>
      </c>
      <c r="E21" s="18" t="n">
        <v>4</v>
      </c>
      <c r="F21" s="18" t="n">
        <v>10</v>
      </c>
      <c r="H21" s="3" t="s">
        <v>41</v>
      </c>
    </row>
    <row r="22" customFormat="false" ht="15" hidden="false" customHeight="true" outlineLevel="0" collapsed="false">
      <c r="A22" s="6" t="s">
        <v>57</v>
      </c>
      <c r="B22" s="18" t="n">
        <v>647</v>
      </c>
      <c r="C22" s="18" t="n">
        <v>772</v>
      </c>
      <c r="D22" s="18" t="n">
        <v>908</v>
      </c>
      <c r="E22" s="18" t="n">
        <v>998</v>
      </c>
      <c r="F22" s="18" t="n">
        <v>1051</v>
      </c>
      <c r="H22" s="3" t="s">
        <v>41</v>
      </c>
    </row>
    <row r="23" customFormat="false" ht="15" hidden="false" customHeight="true" outlineLevel="0" collapsed="false">
      <c r="A23" s="4" t="s">
        <v>58</v>
      </c>
      <c r="B23" s="5"/>
      <c r="C23" s="5"/>
      <c r="D23" s="5"/>
      <c r="E23" s="5"/>
      <c r="F23" s="5"/>
      <c r="G23" s="5"/>
      <c r="H23" s="5"/>
    </row>
    <row r="24" customFormat="false" ht="15" hidden="false" customHeight="true" outlineLevel="0" collapsed="false">
      <c r="A24" s="6" t="s">
        <v>59</v>
      </c>
      <c r="B24" s="18" t="n">
        <v>150</v>
      </c>
      <c r="C24" s="18" t="n">
        <v>160</v>
      </c>
      <c r="D24" s="18" t="n">
        <v>149</v>
      </c>
      <c r="E24" s="18" t="n">
        <v>182</v>
      </c>
      <c r="F24" s="18" t="n">
        <v>228</v>
      </c>
      <c r="H24" s="3" t="s">
        <v>41</v>
      </c>
    </row>
    <row r="25" customFormat="false" ht="15" hidden="false" customHeight="true" outlineLevel="0" collapsed="false">
      <c r="A25" s="6" t="s">
        <v>60</v>
      </c>
      <c r="B25" s="18" t="n">
        <v>-126</v>
      </c>
      <c r="C25" s="18" t="n">
        <v>-187</v>
      </c>
      <c r="D25" s="18" t="n">
        <v>-232</v>
      </c>
      <c r="E25" s="18" t="n">
        <v>-358</v>
      </c>
      <c r="F25" s="18" t="n">
        <v>-182</v>
      </c>
      <c r="H25" s="3" t="s">
        <v>41</v>
      </c>
    </row>
    <row r="26" customFormat="false" ht="15" hidden="false" customHeight="true" outlineLevel="0" collapsed="false">
      <c r="A26" s="6" t="s">
        <v>61</v>
      </c>
      <c r="B26" s="18" t="n">
        <v>14</v>
      </c>
      <c r="C26" s="18" t="n">
        <v>16</v>
      </c>
      <c r="D26" s="18" t="n">
        <v>77</v>
      </c>
      <c r="E26" s="18" t="n">
        <v>185</v>
      </c>
      <c r="F26" s="18" t="n">
        <v>-38</v>
      </c>
      <c r="H26" s="3" t="s">
        <v>41</v>
      </c>
    </row>
    <row r="27" customFormat="false" ht="15" hidden="false" customHeight="true" outlineLevel="0" collapsed="false">
      <c r="A27" s="4" t="s">
        <v>62</v>
      </c>
      <c r="B27" s="5"/>
      <c r="C27" s="5"/>
      <c r="D27" s="5"/>
      <c r="E27" s="5"/>
      <c r="F27" s="5"/>
      <c r="G27" s="5"/>
      <c r="H27" s="5"/>
    </row>
    <row r="28" customFormat="false" ht="15" hidden="false" customHeight="true" outlineLevel="0" collapsed="false">
      <c r="A28" s="6" t="s">
        <v>63</v>
      </c>
      <c r="B28" s="18" t="n">
        <v>50</v>
      </c>
      <c r="C28" s="18" t="n">
        <v>49</v>
      </c>
      <c r="D28" s="18" t="n">
        <v>64</v>
      </c>
      <c r="E28" s="18" t="n">
        <v>85</v>
      </c>
      <c r="F28" s="18" t="n">
        <v>96</v>
      </c>
      <c r="H28" s="3" t="s">
        <v>41</v>
      </c>
    </row>
    <row r="29" customFormat="false" ht="15" hidden="false" customHeight="true" outlineLevel="0" collapsed="false">
      <c r="A29" s="6" t="s">
        <v>64</v>
      </c>
      <c r="B29" s="18" t="n">
        <v>147</v>
      </c>
      <c r="C29" s="18" t="n">
        <v>163</v>
      </c>
      <c r="D29" s="18" t="n">
        <v>176</v>
      </c>
      <c r="E29" s="18" t="n">
        <v>188</v>
      </c>
      <c r="F29" s="18" t="n">
        <v>171</v>
      </c>
      <c r="H29" s="3" t="s">
        <v>41</v>
      </c>
    </row>
    <row r="30" customFormat="false" ht="15" hidden="false" customHeight="true" outlineLevel="0" collapsed="false">
      <c r="A30" s="6" t="s">
        <v>65</v>
      </c>
      <c r="B30" s="18" t="n">
        <v>79</v>
      </c>
      <c r="C30" s="18" t="n">
        <v>89</v>
      </c>
      <c r="D30" s="18" t="n">
        <v>82</v>
      </c>
      <c r="E30" s="18" t="n">
        <v>95</v>
      </c>
      <c r="F30" s="18" t="n">
        <v>103</v>
      </c>
      <c r="H30" s="3" t="s">
        <v>41</v>
      </c>
    </row>
    <row r="32" customFormat="false" ht="15" hidden="false" customHeight="true" outlineLevel="0" collapsed="false">
      <c r="A32" s="4" t="s">
        <v>66</v>
      </c>
      <c r="B32" s="5"/>
      <c r="C32" s="5"/>
      <c r="D32" s="5"/>
      <c r="E32" s="5"/>
      <c r="F32" s="5"/>
      <c r="G32" s="5"/>
      <c r="H32" s="5"/>
    </row>
    <row r="33" customFormat="false" ht="15" hidden="false" customHeight="true" outlineLevel="0" collapsed="false">
      <c r="A33" s="6" t="s">
        <v>67</v>
      </c>
      <c r="D33" s="20" t="n">
        <v>1563.07</v>
      </c>
      <c r="E33" s="20" t="n">
        <v>1525.18</v>
      </c>
      <c r="F33" s="20" t="n">
        <v>1589.87</v>
      </c>
      <c r="H33" s="3" t="s">
        <v>68</v>
      </c>
    </row>
    <row r="34" customFormat="false" ht="15" hidden="false" customHeight="true" outlineLevel="0" collapsed="false">
      <c r="A34" s="6" t="s">
        <v>69</v>
      </c>
      <c r="D34" s="20" t="n">
        <v>292.83</v>
      </c>
      <c r="E34" s="20" t="n">
        <v>296.08</v>
      </c>
      <c r="F34" s="20" t="n">
        <v>279.98</v>
      </c>
      <c r="H34" s="3" t="s">
        <v>68</v>
      </c>
    </row>
    <row r="35" customFormat="false" ht="15" hidden="false" customHeight="true" outlineLevel="0" collapsed="false">
      <c r="A35" s="6" t="s">
        <v>70</v>
      </c>
      <c r="D35" s="20" t="n">
        <v>135.04</v>
      </c>
      <c r="E35" s="20" t="n">
        <v>121.86</v>
      </c>
      <c r="F35" s="20" t="n">
        <v>98.67</v>
      </c>
      <c r="H35" s="3" t="s">
        <v>68</v>
      </c>
    </row>
    <row r="36" customFormat="false" ht="15" hidden="false" customHeight="true" outlineLevel="0" collapsed="false">
      <c r="A36" s="6" t="s">
        <v>71</v>
      </c>
      <c r="D36" s="21" t="n">
        <v>1.18</v>
      </c>
      <c r="E36" s="21" t="n">
        <v>1.33</v>
      </c>
      <c r="F36" s="21" t="n">
        <v>1.1</v>
      </c>
      <c r="H36" s="3" t="s">
        <v>68</v>
      </c>
    </row>
    <row r="37" customFormat="false" ht="15" hidden="false" customHeight="true" outlineLevel="0" collapsed="false">
      <c r="A37" s="6" t="s">
        <v>72</v>
      </c>
      <c r="D37" s="21" t="n">
        <v>6.92</v>
      </c>
      <c r="E37" s="21" t="n">
        <v>4.95</v>
      </c>
      <c r="F37" s="21" t="n">
        <v>3.58</v>
      </c>
      <c r="H37" s="3" t="s">
        <v>68</v>
      </c>
    </row>
    <row r="38" customFormat="false" ht="15" hidden="false" customHeight="true" outlineLevel="0" collapsed="false">
      <c r="A38" s="6" t="s">
        <v>73</v>
      </c>
      <c r="E38" s="18" t="n">
        <v>218</v>
      </c>
      <c r="F38" s="18" t="n">
        <v>225</v>
      </c>
      <c r="H38" s="3" t="s">
        <v>68</v>
      </c>
    </row>
    <row r="39" customFormat="false" ht="15" hidden="false" customHeight="true" outlineLevel="0" collapsed="false">
      <c r="A39" s="6" t="s">
        <v>74</v>
      </c>
      <c r="E39" s="21" t="n">
        <v>4</v>
      </c>
      <c r="F39" s="21" t="n">
        <v>3.84</v>
      </c>
      <c r="H39" s="3" t="s">
        <v>68</v>
      </c>
    </row>
    <row r="40" customFormat="false" ht="15" hidden="false" customHeight="true" outlineLevel="0" collapsed="false">
      <c r="A40" s="6" t="s">
        <v>75</v>
      </c>
      <c r="E40" s="19" t="n">
        <v>0.1162</v>
      </c>
      <c r="F40" s="19" t="n">
        <v>0.0916</v>
      </c>
      <c r="H40" s="3" t="s">
        <v>68</v>
      </c>
    </row>
    <row r="41" customFormat="false" ht="15" hidden="false" customHeight="true" outlineLevel="0" collapsed="false">
      <c r="A41" s="6" t="s">
        <v>76</v>
      </c>
      <c r="F41" s="18" t="n">
        <v>150</v>
      </c>
      <c r="H41" s="3" t="s">
        <v>68</v>
      </c>
    </row>
    <row r="42" customFormat="false" ht="15" hidden="false" customHeight="true" outlineLevel="0" collapsed="false">
      <c r="A42" s="6" t="s">
        <v>77</v>
      </c>
      <c r="F42" s="18" t="n">
        <v>170</v>
      </c>
      <c r="H42" s="3" t="s">
        <v>68</v>
      </c>
    </row>
    <row r="43" customFormat="false" ht="15" hidden="false" customHeight="true" outlineLevel="0" collapsed="false">
      <c r="A43" s="6" t="s">
        <v>78</v>
      </c>
      <c r="F43" s="18" t="n">
        <v>230</v>
      </c>
      <c r="H43" s="3" t="s">
        <v>68</v>
      </c>
    </row>
    <row r="44" customFormat="false" ht="15" hidden="false" customHeight="true" outlineLevel="0" collapsed="false">
      <c r="A44" s="6" t="s">
        <v>79</v>
      </c>
      <c r="F44" s="18" t="n">
        <v>350</v>
      </c>
      <c r="H44" s="3" t="s">
        <v>68</v>
      </c>
    </row>
    <row r="45" customFormat="false" ht="15" hidden="false" customHeight="true" outlineLevel="0" collapsed="false">
      <c r="A45" s="6" t="s">
        <v>80</v>
      </c>
      <c r="F45" s="19" t="n">
        <v>0.8</v>
      </c>
      <c r="H45" s="3" t="s">
        <v>68</v>
      </c>
    </row>
    <row r="46" customFormat="false" ht="15" hidden="false" customHeight="true" outlineLevel="0" collapsed="false">
      <c r="A46" s="6" t="s">
        <v>81</v>
      </c>
      <c r="F46" s="19" t="n">
        <v>0.62</v>
      </c>
      <c r="H46" s="3" t="s">
        <v>68</v>
      </c>
    </row>
    <row r="47" customFormat="false" ht="15" hidden="false" customHeight="true" outlineLevel="0" collapsed="false">
      <c r="A47" s="6" t="s">
        <v>82</v>
      </c>
      <c r="F47" s="19" t="n">
        <v>0.76</v>
      </c>
      <c r="H47" s="3" t="s">
        <v>68</v>
      </c>
    </row>
    <row r="48" customFormat="false" ht="15" hidden="false" customHeight="true" outlineLevel="0" collapsed="false">
      <c r="A48" s="6" t="s">
        <v>83</v>
      </c>
      <c r="F48" s="19" t="n">
        <v>0.35</v>
      </c>
      <c r="H48" s="3" t="s">
        <v>68</v>
      </c>
    </row>
    <row r="49" customFormat="false" ht="15" hidden="false" customHeight="true" outlineLevel="0" collapsed="false">
      <c r="A49" s="6" t="s">
        <v>84</v>
      </c>
      <c r="F49" s="18" t="n">
        <v>850</v>
      </c>
      <c r="H49" s="3" t="s">
        <v>68</v>
      </c>
    </row>
    <row r="50" customFormat="false" ht="15" hidden="false" customHeight="true" outlineLevel="0" collapsed="false">
      <c r="A50" s="6" t="s">
        <v>85</v>
      </c>
      <c r="F50" s="18" t="n">
        <v>610</v>
      </c>
      <c r="H50" s="3" t="s">
        <v>68</v>
      </c>
    </row>
    <row r="51" customFormat="false" ht="15" hidden="false" customHeight="true" outlineLevel="0" collapsed="false">
      <c r="A51" s="6" t="s">
        <v>86</v>
      </c>
      <c r="F51" s="18" t="n">
        <v>130000</v>
      </c>
      <c r="H51" s="3" t="s">
        <v>68</v>
      </c>
    </row>
    <row r="52" customFormat="false" ht="15" hidden="false" customHeight="true" outlineLevel="0" collapsed="false">
      <c r="A52" s="6" t="s">
        <v>87</v>
      </c>
      <c r="F52" s="21" t="n">
        <v>0.8</v>
      </c>
      <c r="H52" s="3" t="s">
        <v>68</v>
      </c>
    </row>
    <row r="53" customFormat="false" ht="15" hidden="false" customHeight="true" outlineLevel="0" collapsed="false">
      <c r="A53" s="6" t="s">
        <v>88</v>
      </c>
      <c r="F53" s="21" t="n">
        <v>3</v>
      </c>
      <c r="H53" s="3" t="s">
        <v>68</v>
      </c>
    </row>
    <row r="54" customFormat="false" ht="15" hidden="false" customHeight="true" outlineLevel="0" collapsed="false">
      <c r="A54" s="6" t="s">
        <v>89</v>
      </c>
      <c r="F54" s="19" t="n">
        <v>0.15</v>
      </c>
      <c r="H54" s="3" t="s">
        <v>68</v>
      </c>
    </row>
    <row r="55" customFormat="false" ht="15" hidden="false" customHeight="true" outlineLevel="0" collapsed="false">
      <c r="A55" s="6" t="s">
        <v>90</v>
      </c>
      <c r="F55" s="21" t="n">
        <v>1.5</v>
      </c>
      <c r="H55" s="3" t="s">
        <v>68</v>
      </c>
    </row>
    <row r="56" customFormat="false" ht="15" hidden="false" customHeight="true" outlineLevel="0" collapsed="false">
      <c r="A56" s="6" t="s">
        <v>91</v>
      </c>
      <c r="F56" s="21" t="n">
        <v>3.98</v>
      </c>
      <c r="H56" s="3" t="s">
        <v>68</v>
      </c>
    </row>
    <row r="58" customFormat="false" ht="15" hidden="false" customHeight="true" outlineLevel="0" collapsed="false">
      <c r="A58" s="4" t="s">
        <v>92</v>
      </c>
      <c r="B58" s="5"/>
      <c r="C58" s="5"/>
      <c r="D58" s="5"/>
      <c r="E58" s="5"/>
      <c r="F58" s="5"/>
      <c r="G58" s="5"/>
      <c r="H58" s="5"/>
    </row>
    <row r="59" customFormat="false" ht="15" hidden="false" customHeight="true" outlineLevel="0" collapsed="false">
      <c r="A59" s="6" t="s">
        <v>93</v>
      </c>
      <c r="F59" s="18" t="n">
        <v>3042</v>
      </c>
      <c r="H59" s="3" t="s">
        <v>41</v>
      </c>
    </row>
    <row r="60" customFormat="false" ht="15" hidden="false" customHeight="true" outlineLevel="0" collapsed="false">
      <c r="A60" s="6" t="s">
        <v>94</v>
      </c>
      <c r="F60" s="19" t="n">
        <v>0.5633</v>
      </c>
      <c r="H60" s="3" t="s">
        <v>41</v>
      </c>
    </row>
    <row r="61" customFormat="false" ht="15" hidden="false" customHeight="true" outlineLevel="0" collapsed="false">
      <c r="A61" s="6" t="s">
        <v>95</v>
      </c>
      <c r="F61" s="19" t="n">
        <v>0</v>
      </c>
      <c r="H61" s="3" t="s">
        <v>96</v>
      </c>
    </row>
    <row r="63" customFormat="false" ht="15" hidden="false" customHeight="true" outlineLevel="0" collapsed="false">
      <c r="A63" s="4" t="s">
        <v>97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customFormat="false" ht="15" hidden="false" customHeight="true" outlineLevel="0" collapsed="false">
      <c r="A64" s="17" t="s">
        <v>98</v>
      </c>
      <c r="B64" s="17" t="s">
        <v>99</v>
      </c>
      <c r="C64" s="17" t="s">
        <v>100</v>
      </c>
      <c r="D64" s="17" t="s">
        <v>101</v>
      </c>
      <c r="E64" s="17" t="s">
        <v>102</v>
      </c>
      <c r="F64" s="17" t="s">
        <v>103</v>
      </c>
      <c r="G64" s="17" t="s">
        <v>104</v>
      </c>
      <c r="H64" s="17" t="s">
        <v>105</v>
      </c>
      <c r="I64" s="17" t="s">
        <v>106</v>
      </c>
      <c r="J64" s="17" t="s">
        <v>107</v>
      </c>
      <c r="K64" s="17" t="s">
        <v>108</v>
      </c>
      <c r="L64" s="17" t="s">
        <v>109</v>
      </c>
      <c r="M64" s="17" t="s">
        <v>110</v>
      </c>
      <c r="N64" s="17" t="s">
        <v>111</v>
      </c>
    </row>
    <row r="65" customFormat="false" ht="15" hidden="false" customHeight="true" outlineLevel="0" collapsed="false">
      <c r="A65" s="6" t="s">
        <v>112</v>
      </c>
      <c r="B65" s="18" t="n">
        <v>370</v>
      </c>
      <c r="C65" s="18" t="n">
        <v>397</v>
      </c>
      <c r="D65" s="18" t="n">
        <v>399</v>
      </c>
      <c r="E65" s="18" t="n">
        <v>398</v>
      </c>
      <c r="F65" s="18" t="n">
        <v>382</v>
      </c>
      <c r="G65" s="18" t="n">
        <v>398</v>
      </c>
      <c r="H65" s="18" t="n">
        <v>374</v>
      </c>
      <c r="I65" s="18" t="n">
        <v>371</v>
      </c>
      <c r="J65" s="18" t="n">
        <v>362</v>
      </c>
      <c r="K65" s="18" t="n">
        <v>385</v>
      </c>
      <c r="L65" s="18" t="n">
        <v>414</v>
      </c>
      <c r="M65" s="18" t="n">
        <v>430</v>
      </c>
      <c r="N65" s="18" t="n">
        <v>420</v>
      </c>
    </row>
    <row r="66" customFormat="false" ht="15" hidden="false" customHeight="true" outlineLevel="0" collapsed="false">
      <c r="A66" s="6" t="s">
        <v>113</v>
      </c>
      <c r="B66" s="18" t="n">
        <v>65</v>
      </c>
      <c r="C66" s="18" t="n">
        <v>75</v>
      </c>
      <c r="D66" s="18" t="n">
        <v>75</v>
      </c>
      <c r="E66" s="18" t="n">
        <v>78</v>
      </c>
      <c r="F66" s="18" t="n">
        <v>73</v>
      </c>
      <c r="G66" s="18" t="n">
        <v>77</v>
      </c>
      <c r="H66" s="18" t="n">
        <v>73</v>
      </c>
      <c r="I66" s="18" t="n">
        <v>73</v>
      </c>
      <c r="J66" s="18" t="n">
        <v>63</v>
      </c>
      <c r="K66" s="18" t="n">
        <v>67</v>
      </c>
      <c r="L66" s="18" t="n">
        <v>69</v>
      </c>
      <c r="M66" s="18" t="n">
        <v>81</v>
      </c>
      <c r="N66" s="18" t="n">
        <v>75</v>
      </c>
    </row>
    <row r="67" customFormat="false" ht="15" hidden="false" customHeight="true" outlineLevel="0" collapsed="false">
      <c r="A67" s="6" t="s">
        <v>43</v>
      </c>
      <c r="B67" s="18" t="n">
        <v>5</v>
      </c>
      <c r="C67" s="18" t="n">
        <v>5</v>
      </c>
      <c r="D67" s="18" t="n">
        <v>6</v>
      </c>
      <c r="E67" s="18" t="n">
        <v>6</v>
      </c>
      <c r="F67" s="18" t="n">
        <v>6</v>
      </c>
      <c r="G67" s="18" t="n">
        <v>7</v>
      </c>
      <c r="H67" s="18" t="n">
        <v>4</v>
      </c>
      <c r="I67" s="18" t="n">
        <v>6</v>
      </c>
      <c r="J67" s="18" t="n">
        <v>8</v>
      </c>
      <c r="K67" s="18" t="n">
        <v>4</v>
      </c>
      <c r="L67" s="18" t="n">
        <v>3</v>
      </c>
      <c r="M67" s="18" t="n">
        <v>1</v>
      </c>
      <c r="N67" s="22" t="n">
        <v>63</v>
      </c>
    </row>
    <row r="68" customFormat="false" ht="15" hidden="false" customHeight="true" outlineLevel="0" collapsed="false">
      <c r="A68" s="6" t="s">
        <v>114</v>
      </c>
      <c r="B68" s="18" t="n">
        <v>10</v>
      </c>
      <c r="C68" s="18" t="n">
        <v>9</v>
      </c>
      <c r="D68" s="18" t="n">
        <v>11</v>
      </c>
      <c r="E68" s="18" t="n">
        <v>13</v>
      </c>
      <c r="F68" s="18" t="n">
        <v>15</v>
      </c>
      <c r="G68" s="18" t="n">
        <v>16</v>
      </c>
      <c r="H68" s="18" t="n">
        <v>15</v>
      </c>
      <c r="I68" s="18" t="n">
        <v>14</v>
      </c>
      <c r="J68" s="18" t="n">
        <v>18</v>
      </c>
      <c r="K68" s="18" t="n">
        <v>21</v>
      </c>
      <c r="L68" s="18" t="n">
        <v>20</v>
      </c>
      <c r="M68" s="18" t="n">
        <v>18</v>
      </c>
      <c r="N68" s="18" t="n">
        <v>16</v>
      </c>
    </row>
    <row r="69" customFormat="false" ht="15" hidden="false" customHeight="true" outlineLevel="0" collapsed="false">
      <c r="A69" s="6" t="s">
        <v>115</v>
      </c>
      <c r="B69" s="18" t="n">
        <v>29</v>
      </c>
      <c r="C69" s="18" t="n">
        <v>35</v>
      </c>
      <c r="D69" s="18" t="n">
        <v>34</v>
      </c>
      <c r="E69" s="18" t="n">
        <v>37</v>
      </c>
      <c r="F69" s="18" t="n">
        <v>30</v>
      </c>
      <c r="G69" s="18" t="n">
        <v>32</v>
      </c>
      <c r="H69" s="18" t="n">
        <v>27</v>
      </c>
      <c r="I69" s="18" t="n">
        <v>33</v>
      </c>
      <c r="J69" s="18" t="n">
        <v>19</v>
      </c>
      <c r="K69" s="18" t="n">
        <v>17</v>
      </c>
      <c r="L69" s="18" t="n">
        <v>18</v>
      </c>
      <c r="M69" s="18" t="n">
        <v>45</v>
      </c>
      <c r="N69" s="18" t="n">
        <v>90</v>
      </c>
    </row>
    <row r="70" customFormat="false" ht="15" hidden="false" customHeight="true" outlineLevel="0" collapsed="false">
      <c r="A70" s="6" t="s">
        <v>116</v>
      </c>
      <c r="B70" s="23" t="n">
        <f aca="false">B66/B65</f>
        <v>0.175675675675676</v>
      </c>
      <c r="C70" s="23" t="n">
        <f aca="false">C66/C65</f>
        <v>0.188916876574307</v>
      </c>
      <c r="D70" s="23" t="n">
        <f aca="false">D66/D65</f>
        <v>0.18796992481203</v>
      </c>
      <c r="E70" s="23" t="n">
        <f aca="false">E66/E65</f>
        <v>0.195979899497487</v>
      </c>
      <c r="F70" s="23" t="n">
        <f aca="false">F66/F65</f>
        <v>0.191099476439791</v>
      </c>
      <c r="G70" s="23" t="n">
        <f aca="false">G66/G65</f>
        <v>0.193467336683417</v>
      </c>
      <c r="H70" s="23" t="n">
        <f aca="false">H66/H65</f>
        <v>0.195187165775401</v>
      </c>
      <c r="I70" s="23" t="n">
        <f aca="false">I66/I65</f>
        <v>0.196765498652291</v>
      </c>
      <c r="J70" s="23" t="n">
        <f aca="false">J66/J65</f>
        <v>0.174033149171271</v>
      </c>
      <c r="K70" s="23" t="n">
        <f aca="false">K66/K65</f>
        <v>0.174025974025974</v>
      </c>
      <c r="L70" s="23" t="n">
        <f aca="false">L66/L65</f>
        <v>0.166666666666667</v>
      </c>
      <c r="M70" s="23" t="n">
        <f aca="false">M66/M65</f>
        <v>0.188372093023256</v>
      </c>
      <c r="N70" s="23" t="n">
        <f aca="false">N66/N65</f>
        <v>0.178571428571429</v>
      </c>
    </row>
    <row r="71" customFormat="false" ht="15" hidden="false" customHeight="true" outlineLevel="0" collapsed="false">
      <c r="A71" s="3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1"/>
    <col collapsed="false" customWidth="true" hidden="false" outlineLevel="0" max="3" min="3" style="1" width="95"/>
    <col collapsed="false" customWidth="true" hidden="false" outlineLevel="0" max="16" min="4" style="1" width="11"/>
  </cols>
  <sheetData>
    <row r="1" customFormat="false" ht="17.25" hidden="false" customHeight="true" outlineLevel="0" collapsed="false">
      <c r="A1" s="16" t="s">
        <v>118</v>
      </c>
    </row>
    <row r="2" customFormat="false" ht="15" hidden="false" customHeight="true" outlineLevel="0" collapsed="false">
      <c r="A2" s="3" t="s">
        <v>119</v>
      </c>
    </row>
    <row r="3" customFormat="false" ht="15" hidden="false" customHeight="true" outlineLevel="0" collapsed="false">
      <c r="A3" s="9" t="s">
        <v>120</v>
      </c>
      <c r="B3" s="9" t="s">
        <v>121</v>
      </c>
      <c r="C3" s="9" t="s">
        <v>122</v>
      </c>
    </row>
    <row r="4" customFormat="false" ht="15" hidden="false" customHeight="true" outlineLevel="0" collapsed="false">
      <c r="A4" s="6" t="s">
        <v>123</v>
      </c>
      <c r="B4" s="24" t="n">
        <v>0.08</v>
      </c>
      <c r="C4" s="3" t="s">
        <v>124</v>
      </c>
    </row>
    <row r="5" customFormat="false" ht="15" hidden="false" customHeight="true" outlineLevel="0" collapsed="false">
      <c r="A5" s="6" t="s">
        <v>125</v>
      </c>
      <c r="B5" s="24" t="n">
        <v>0.18</v>
      </c>
      <c r="C5" s="3" t="s">
        <v>126</v>
      </c>
    </row>
    <row r="6" customFormat="false" ht="15" hidden="false" customHeight="true" outlineLevel="0" collapsed="false">
      <c r="A6" s="6" t="s">
        <v>127</v>
      </c>
      <c r="B6" s="18" t="n">
        <v>16</v>
      </c>
      <c r="C6" s="3" t="s">
        <v>128</v>
      </c>
    </row>
    <row r="7" customFormat="false" ht="15" hidden="false" customHeight="true" outlineLevel="0" collapsed="false">
      <c r="A7" s="6" t="s">
        <v>129</v>
      </c>
      <c r="B7" s="18" t="n">
        <v>118</v>
      </c>
      <c r="C7" s="3" t="s">
        <v>130</v>
      </c>
    </row>
    <row r="8" customFormat="false" ht="15" hidden="false" customHeight="true" outlineLevel="0" collapsed="false">
      <c r="A8" s="6" t="s">
        <v>131</v>
      </c>
      <c r="B8" s="19" t="n">
        <v>0.065</v>
      </c>
      <c r="C8" s="3" t="s">
        <v>132</v>
      </c>
    </row>
    <row r="9" customFormat="false" ht="15" hidden="false" customHeight="true" outlineLevel="0" collapsed="false">
      <c r="A9" s="6" t="s">
        <v>133</v>
      </c>
      <c r="B9" s="18" t="n">
        <v>160</v>
      </c>
      <c r="C9" s="3" t="s">
        <v>134</v>
      </c>
    </row>
    <row r="10" customFormat="false" ht="15" hidden="false" customHeight="true" outlineLevel="0" collapsed="false">
      <c r="A10" s="6" t="s">
        <v>135</v>
      </c>
      <c r="B10" s="18" t="n">
        <v>100</v>
      </c>
      <c r="C10" s="3" t="s">
        <v>136</v>
      </c>
    </row>
    <row r="11" customFormat="false" ht="15" hidden="false" customHeight="true" outlineLevel="0" collapsed="false">
      <c r="A11" s="6" t="s">
        <v>137</v>
      </c>
      <c r="B11" s="19" t="n">
        <v>0.25</v>
      </c>
      <c r="C11" s="3" t="s">
        <v>138</v>
      </c>
    </row>
    <row r="12" customFormat="false" ht="15" hidden="false" customHeight="true" outlineLevel="0" collapsed="false">
      <c r="A12" s="6" t="s">
        <v>139</v>
      </c>
      <c r="B12" s="18" t="n">
        <v>20</v>
      </c>
      <c r="C12" s="3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6" min="2" style="1" width="11"/>
  </cols>
  <sheetData>
    <row r="1" customFormat="false" ht="17.25" hidden="false" customHeight="true" outlineLevel="0" collapsed="false">
      <c r="A1" s="16" t="s">
        <v>141</v>
      </c>
    </row>
    <row r="2" customFormat="false" ht="15" hidden="false" customHeight="true" outlineLevel="0" collapsed="false">
      <c r="A2" s="3" t="s">
        <v>142</v>
      </c>
    </row>
    <row r="4" customFormat="false" ht="15" hidden="false" customHeight="true" outlineLevel="0" collapsed="false">
      <c r="A4" s="17" t="s">
        <v>37</v>
      </c>
      <c r="B4" s="17" t="s">
        <v>25</v>
      </c>
      <c r="C4" s="17" t="s">
        <v>26</v>
      </c>
      <c r="D4" s="17" t="s">
        <v>27</v>
      </c>
      <c r="E4" s="17" t="s">
        <v>28</v>
      </c>
      <c r="F4" s="17" t="s">
        <v>29</v>
      </c>
      <c r="G4" s="17" t="s">
        <v>30</v>
      </c>
    </row>
    <row r="5" customFormat="false" ht="15" hidden="false" customHeight="true" outlineLevel="0" collapsed="false">
      <c r="A5" s="4" t="s">
        <v>143</v>
      </c>
      <c r="B5" s="5"/>
      <c r="C5" s="5"/>
      <c r="D5" s="5"/>
      <c r="E5" s="5"/>
      <c r="F5" s="5"/>
      <c r="G5" s="5"/>
    </row>
    <row r="6" customFormat="false" ht="15" hidden="false" customHeight="true" outlineLevel="0" collapsed="false">
      <c r="A6" s="9" t="s">
        <v>144</v>
      </c>
      <c r="B6" s="25" t="n">
        <f aca="false">Source_Data!B6</f>
        <v>1140</v>
      </c>
      <c r="C6" s="25" t="n">
        <f aca="false">Source_Data!C6</f>
        <v>1462</v>
      </c>
      <c r="D6" s="25" t="n">
        <f aca="false">Source_Data!D6</f>
        <v>1563</v>
      </c>
      <c r="E6" s="25" t="n">
        <f aca="false">Source_Data!E6</f>
        <v>1525</v>
      </c>
      <c r="F6" s="25" t="n">
        <f aca="false">Source_Data!F6</f>
        <v>1590</v>
      </c>
      <c r="G6" s="26" t="n">
        <f aca="false">F6*(1+FY27E_Base!$B$4)</f>
        <v>1717.2</v>
      </c>
    </row>
    <row r="7" customFormat="false" ht="15" hidden="false" customHeight="true" outlineLevel="0" collapsed="false">
      <c r="A7" s="9" t="s">
        <v>145</v>
      </c>
      <c r="B7" s="25" t="n">
        <f aca="false">Source_Data!B6-Source_Data!B7</f>
        <v>209</v>
      </c>
      <c r="C7" s="25" t="n">
        <f aca="false">Source_Data!C6-Source_Data!C7</f>
        <v>273</v>
      </c>
      <c r="D7" s="25" t="n">
        <f aca="false">Source_Data!D6-Source_Data!D7</f>
        <v>293</v>
      </c>
      <c r="E7" s="25" t="n">
        <f aca="false">Source_Data!E6-Source_Data!E7</f>
        <v>296</v>
      </c>
      <c r="F7" s="25" t="n">
        <f aca="false">Source_Data!F6-Source_Data!F7</f>
        <v>280</v>
      </c>
      <c r="G7" s="26" t="n">
        <f aca="false">G6*FY27E_Base!$B$5</f>
        <v>309.096</v>
      </c>
    </row>
    <row r="8" customFormat="false" ht="15" hidden="false" customHeight="true" outlineLevel="0" collapsed="false">
      <c r="A8" s="6" t="s">
        <v>7</v>
      </c>
      <c r="B8" s="23" t="n">
        <f aca="false">B7/B6</f>
        <v>0.183333333333333</v>
      </c>
      <c r="C8" s="23" t="n">
        <f aca="false">C7/C6</f>
        <v>0.186730506155951</v>
      </c>
      <c r="D8" s="23" t="n">
        <f aca="false">D7/D6</f>
        <v>0.187460012795905</v>
      </c>
      <c r="E8" s="23" t="n">
        <f aca="false">E7/E6</f>
        <v>0.194098360655738</v>
      </c>
      <c r="F8" s="23" t="n">
        <f aca="false">F7/F6</f>
        <v>0.176100628930818</v>
      </c>
      <c r="G8" s="23" t="n">
        <f aca="false">G7/G6</f>
        <v>0.18</v>
      </c>
    </row>
    <row r="9" customFormat="false" ht="15" hidden="false" customHeight="true" outlineLevel="0" collapsed="false">
      <c r="A9" s="6" t="s">
        <v>43</v>
      </c>
      <c r="B9" s="27" t="n">
        <f aca="false">Source_Data!B8</f>
        <v>16</v>
      </c>
      <c r="C9" s="27" t="n">
        <f aca="false">Source_Data!C8</f>
        <v>12</v>
      </c>
      <c r="D9" s="27" t="n">
        <f aca="false">Source_Data!D8</f>
        <v>22</v>
      </c>
      <c r="E9" s="27" t="n">
        <f aca="false">Source_Data!E8</f>
        <v>23</v>
      </c>
      <c r="F9" s="27" t="n">
        <f aca="false">Source_Data!F8</f>
        <v>16</v>
      </c>
      <c r="G9" s="28" t="n">
        <f aca="false">FY27E_Base!$B$6</f>
        <v>16</v>
      </c>
    </row>
    <row r="10" customFormat="false" ht="15" hidden="false" customHeight="true" outlineLevel="0" collapsed="false">
      <c r="A10" s="6" t="s">
        <v>114</v>
      </c>
      <c r="B10" s="27" t="n">
        <f aca="false">Source_Data!B9</f>
        <v>28</v>
      </c>
      <c r="C10" s="27" t="n">
        <f aca="false">Source_Data!C9</f>
        <v>30</v>
      </c>
      <c r="D10" s="27" t="n">
        <f aca="false">Source_Data!D9</f>
        <v>42</v>
      </c>
      <c r="E10" s="27" t="n">
        <f aca="false">Source_Data!E9</f>
        <v>60</v>
      </c>
      <c r="F10" s="27" t="n">
        <f aca="false">Source_Data!F9</f>
        <v>78</v>
      </c>
      <c r="G10" s="28" t="n">
        <f aca="false">AVERAGE(F15,G15)*FY27E_Base!$B$8</f>
        <v>78.325</v>
      </c>
    </row>
    <row r="11" customFormat="false" ht="15" hidden="false" customHeight="true" outlineLevel="0" collapsed="false">
      <c r="A11" s="6" t="s">
        <v>45</v>
      </c>
      <c r="B11" s="27" t="n">
        <f aca="false">Source_Data!B10</f>
        <v>68</v>
      </c>
      <c r="C11" s="27" t="n">
        <f aca="false">Source_Data!C10</f>
        <v>79</v>
      </c>
      <c r="D11" s="27" t="n">
        <f aca="false">Source_Data!D10</f>
        <v>83</v>
      </c>
      <c r="E11" s="27" t="n">
        <f aca="false">Source_Data!E10</f>
        <v>93</v>
      </c>
      <c r="F11" s="27" t="n">
        <f aca="false">Source_Data!F10</f>
        <v>103</v>
      </c>
      <c r="G11" s="28" t="n">
        <f aca="false">FY27E_Base!$B$7</f>
        <v>118</v>
      </c>
    </row>
    <row r="12" customFormat="false" ht="15" hidden="false" customHeight="true" outlineLevel="0" collapsed="false">
      <c r="A12" s="6" t="s">
        <v>146</v>
      </c>
      <c r="B12" s="28" t="n">
        <f aca="false">B7+B9-B10-B11</f>
        <v>129</v>
      </c>
      <c r="C12" s="28" t="n">
        <f aca="false">C7+C9-C10-C11</f>
        <v>176</v>
      </c>
      <c r="D12" s="28" t="n">
        <f aca="false">D7+D9-D10-D11</f>
        <v>190</v>
      </c>
      <c r="E12" s="28" t="n">
        <f aca="false">E7+E9-E10-E11</f>
        <v>166</v>
      </c>
      <c r="F12" s="28" t="n">
        <f aca="false">F7+F9-F10-F11</f>
        <v>115</v>
      </c>
      <c r="G12" s="28" t="n">
        <f aca="false">G7+G9-G10-G11</f>
        <v>128.771</v>
      </c>
    </row>
    <row r="13" customFormat="false" ht="15" hidden="false" customHeight="true" outlineLevel="0" collapsed="false">
      <c r="A13" s="9" t="s">
        <v>115</v>
      </c>
      <c r="B13" s="25" t="n">
        <f aca="false">Source_Data!B12</f>
        <v>91</v>
      </c>
      <c r="C13" s="25" t="n">
        <f aca="false">Source_Data!C12</f>
        <v>128</v>
      </c>
      <c r="D13" s="25" t="n">
        <f aca="false">Source_Data!D12</f>
        <v>135</v>
      </c>
      <c r="E13" s="25" t="n">
        <f aca="false">Source_Data!E12</f>
        <v>123</v>
      </c>
      <c r="F13" s="25" t="n">
        <f aca="false">Source_Data!F12</f>
        <v>99</v>
      </c>
      <c r="G13" s="26" t="n">
        <f aca="false">G12*(1-FY27E_Base!$B$11)</f>
        <v>96.57825</v>
      </c>
    </row>
    <row r="14" customFormat="false" ht="15" hidden="false" customHeight="true" outlineLevel="0" collapsed="false">
      <c r="A14" s="9" t="s">
        <v>147</v>
      </c>
      <c r="B14" s="26" t="n">
        <f aca="false">B13+B11</f>
        <v>159</v>
      </c>
      <c r="C14" s="26" t="n">
        <f aca="false">C13+C11</f>
        <v>207</v>
      </c>
      <c r="D14" s="26" t="n">
        <f aca="false">D13+D11</f>
        <v>218</v>
      </c>
      <c r="E14" s="26" t="n">
        <f aca="false">E13+E11</f>
        <v>216</v>
      </c>
      <c r="F14" s="26" t="n">
        <f aca="false">F13+F11</f>
        <v>202</v>
      </c>
      <c r="G14" s="26" t="n">
        <f aca="false">G13+G11</f>
        <v>214.57825</v>
      </c>
    </row>
    <row r="15" customFormat="false" ht="15" hidden="false" customHeight="true" outlineLevel="0" collapsed="false">
      <c r="A15" s="6" t="s">
        <v>148</v>
      </c>
      <c r="B15" s="27" t="n">
        <f aca="false">Source_Data!B17</f>
        <v>685</v>
      </c>
      <c r="C15" s="27" t="n">
        <f aca="false">Source_Data!C17</f>
        <v>756</v>
      </c>
      <c r="D15" s="27" t="n">
        <f aca="false">Source_Data!D17</f>
        <v>931</v>
      </c>
      <c r="E15" s="27" t="n">
        <f aca="false">Source_Data!E17</f>
        <v>1185</v>
      </c>
      <c r="F15" s="27" t="n">
        <f aca="false">Source_Data!F17</f>
        <v>1235</v>
      </c>
      <c r="G15" s="28" t="n">
        <f aca="false">F15-FY27E_Base!$B$9+FY27E_Base!$B$10</f>
        <v>1175</v>
      </c>
    </row>
    <row r="16" customFormat="false" ht="15" hidden="false" customHeight="true" outlineLevel="0" collapsed="false">
      <c r="A16" s="6" t="s">
        <v>149</v>
      </c>
      <c r="B16" s="27" t="n">
        <f aca="false">Source_Data!B15+Source_Data!B16</f>
        <v>559</v>
      </c>
      <c r="C16" s="27" t="n">
        <f aca="false">Source_Data!C15+Source_Data!C16</f>
        <v>673</v>
      </c>
      <c r="D16" s="27" t="n">
        <f aca="false">Source_Data!D15+Source_Data!D16</f>
        <v>789</v>
      </c>
      <c r="E16" s="27" t="n">
        <f aca="false">Source_Data!E15+Source_Data!E16</f>
        <v>893</v>
      </c>
      <c r="F16" s="27" t="n">
        <f aca="false">Source_Data!F15+Source_Data!F16</f>
        <v>975</v>
      </c>
      <c r="G16" s="28" t="n">
        <f aca="false">F16+G13-FY27E_Base!$B$12</f>
        <v>1051.57825</v>
      </c>
    </row>
    <row r="17" customFormat="false" ht="15" hidden="false" customHeight="true" outlineLevel="0" collapsed="false">
      <c r="A17" s="6" t="s">
        <v>150</v>
      </c>
      <c r="B17" s="28" t="n">
        <f aca="false">0</f>
        <v>0</v>
      </c>
      <c r="C17" s="28" t="n">
        <f aca="false">0</f>
        <v>0</v>
      </c>
      <c r="D17" s="28" t="n">
        <f aca="false">0</f>
        <v>0</v>
      </c>
      <c r="E17" s="27" t="n">
        <f aca="false">Source_Data!E38</f>
        <v>218</v>
      </c>
      <c r="F17" s="27" t="n">
        <f aca="false">Source_Data!F38</f>
        <v>225</v>
      </c>
      <c r="G17" s="28" t="n">
        <f aca="false">F17</f>
        <v>225</v>
      </c>
    </row>
    <row r="18" customFormat="false" ht="15" hidden="false" customHeight="true" outlineLevel="0" collapsed="false">
      <c r="A18" s="6" t="s">
        <v>151</v>
      </c>
      <c r="B18" s="28" t="n">
        <f aca="false">B15-B17</f>
        <v>685</v>
      </c>
      <c r="C18" s="28" t="n">
        <f aca="false">C15-C17</f>
        <v>756</v>
      </c>
      <c r="D18" s="28" t="n">
        <f aca="false">D15-D17</f>
        <v>931</v>
      </c>
      <c r="E18" s="28" t="n">
        <f aca="false">E15-E17</f>
        <v>967</v>
      </c>
      <c r="F18" s="28" t="n">
        <f aca="false">F15-F17</f>
        <v>1010</v>
      </c>
      <c r="G18" s="28" t="n">
        <f aca="false">G15-G17</f>
        <v>950</v>
      </c>
    </row>
    <row r="19" customFormat="false" ht="15" hidden="false" customHeight="true" outlineLevel="0" collapsed="false">
      <c r="A19" s="6" t="s">
        <v>152</v>
      </c>
      <c r="B19" s="28" t="n">
        <f aca="false">B16+B15</f>
        <v>1244</v>
      </c>
      <c r="C19" s="28" t="n">
        <f aca="false">C16+C15</f>
        <v>1429</v>
      </c>
      <c r="D19" s="28" t="n">
        <f aca="false">D16+D15</f>
        <v>1720</v>
      </c>
      <c r="E19" s="28" t="n">
        <f aca="false">E16+E15</f>
        <v>2078</v>
      </c>
      <c r="F19" s="28" t="n">
        <f aca="false">F16+F15</f>
        <v>2210</v>
      </c>
      <c r="G19" s="28" t="n">
        <f aca="false">G16+G15</f>
        <v>2226.57825</v>
      </c>
    </row>
    <row r="20" customFormat="false" ht="15" hidden="false" customHeight="true" outlineLevel="0" collapsed="false">
      <c r="A20" s="6" t="s">
        <v>153</v>
      </c>
      <c r="B20" s="27" t="n">
        <f aca="false">Source_Data!B24</f>
        <v>150</v>
      </c>
      <c r="C20" s="27" t="n">
        <f aca="false">Source_Data!C24</f>
        <v>160</v>
      </c>
      <c r="D20" s="27" t="n">
        <f aca="false">Source_Data!D24</f>
        <v>149</v>
      </c>
      <c r="E20" s="27" t="n">
        <f aca="false">Source_Data!E24</f>
        <v>182</v>
      </c>
      <c r="F20" s="27" t="n">
        <f aca="false">Source_Data!F24</f>
        <v>228</v>
      </c>
    </row>
    <row r="21" customFormat="false" ht="15" hidden="false" customHeight="true" outlineLevel="0" collapsed="false">
      <c r="A21" s="6" t="s">
        <v>154</v>
      </c>
      <c r="B21" s="28" t="n">
        <f aca="false">-Source_Data!B25</f>
        <v>126</v>
      </c>
      <c r="C21" s="28" t="n">
        <f aca="false">-Source_Data!C25</f>
        <v>187</v>
      </c>
      <c r="D21" s="28" t="n">
        <f aca="false">-Source_Data!D25</f>
        <v>232</v>
      </c>
      <c r="E21" s="28" t="n">
        <f aca="false">-Source_Data!E25</f>
        <v>358</v>
      </c>
      <c r="F21" s="28" t="n">
        <f aca="false">-Source_Data!F25</f>
        <v>182</v>
      </c>
    </row>
    <row r="22" customFormat="false" ht="15" hidden="false" customHeight="true" outlineLevel="0" collapsed="false">
      <c r="A22" s="9" t="s">
        <v>155</v>
      </c>
      <c r="B22" s="26" t="n">
        <f aca="false">B20-B21</f>
        <v>24</v>
      </c>
      <c r="C22" s="26" t="n">
        <f aca="false">C20-C21</f>
        <v>-27</v>
      </c>
      <c r="D22" s="26" t="n">
        <f aca="false">D20-D21</f>
        <v>-83</v>
      </c>
      <c r="E22" s="26" t="n">
        <f aca="false">E20-E21</f>
        <v>-176</v>
      </c>
      <c r="F22" s="26" t="n">
        <f aca="false">F20-F21</f>
        <v>46</v>
      </c>
    </row>
    <row r="24" customFormat="false" ht="15" hidden="false" customHeight="true" outlineLevel="0" collapsed="false">
      <c r="A24" s="4" t="s">
        <v>156</v>
      </c>
      <c r="B24" s="5"/>
      <c r="C24" s="5"/>
      <c r="D24" s="5"/>
      <c r="E24" s="5"/>
      <c r="F24" s="5"/>
      <c r="G24" s="5"/>
    </row>
    <row r="25" customFormat="false" ht="15" hidden="false" customHeight="true" outlineLevel="0" collapsed="false">
      <c r="A25" s="6" t="s">
        <v>157</v>
      </c>
      <c r="C25" s="23" t="n">
        <f aca="false">C6/B6-1</f>
        <v>0.282456140350877</v>
      </c>
      <c r="D25" s="23" t="n">
        <f aca="false">D6/C6-1</f>
        <v>0.0690834473324213</v>
      </c>
      <c r="E25" s="23" t="n">
        <f aca="false">E6/D6-1</f>
        <v>-0.0243122200895713</v>
      </c>
      <c r="F25" s="23" t="n">
        <f aca="false">F6/E6-1</f>
        <v>0.042622950819672</v>
      </c>
      <c r="G25" s="23" t="n">
        <f aca="false">G6/F6-1</f>
        <v>0.0800000000000001</v>
      </c>
    </row>
    <row r="26" customFormat="false" ht="15" hidden="false" customHeight="true" outlineLevel="0" collapsed="false">
      <c r="A26" s="6" t="s">
        <v>158</v>
      </c>
      <c r="B26" s="29" t="n">
        <f aca="false">B15/B16</f>
        <v>1.22540250447227</v>
      </c>
      <c r="C26" s="29" t="n">
        <f aca="false">C15/C16</f>
        <v>1.12332838038633</v>
      </c>
      <c r="D26" s="29" t="n">
        <f aca="false">D15/D16</f>
        <v>1.17997465145754</v>
      </c>
      <c r="E26" s="29" t="n">
        <f aca="false">E15/E16</f>
        <v>1.32698768197088</v>
      </c>
      <c r="F26" s="29" t="n">
        <f aca="false">F15/F16</f>
        <v>1.26666666666667</v>
      </c>
      <c r="G26" s="29" t="n">
        <f aca="false">G15/G16</f>
        <v>1.11736810836474</v>
      </c>
    </row>
    <row r="27" customFormat="false" ht="15" hidden="false" customHeight="true" outlineLevel="0" collapsed="false">
      <c r="A27" s="6" t="s">
        <v>159</v>
      </c>
      <c r="B27" s="29" t="n">
        <f aca="false">B18/B16</f>
        <v>1.22540250447227</v>
      </c>
      <c r="C27" s="29" t="n">
        <f aca="false">C18/C16</f>
        <v>1.12332838038633</v>
      </c>
      <c r="D27" s="29" t="n">
        <f aca="false">D18/D16</f>
        <v>1.17997465145754</v>
      </c>
      <c r="E27" s="29" t="n">
        <f aca="false">E18/E16</f>
        <v>1.08286674132139</v>
      </c>
      <c r="F27" s="29" t="n">
        <f aca="false">F18/F16</f>
        <v>1.03589743589744</v>
      </c>
      <c r="G27" s="29" t="n">
        <f aca="false">G18/G16</f>
        <v>0.903404002507659</v>
      </c>
    </row>
    <row r="28" customFormat="false" ht="15" hidden="false" customHeight="true" outlineLevel="0" collapsed="false">
      <c r="A28" s="6" t="s">
        <v>160</v>
      </c>
      <c r="B28" s="29" t="n">
        <f aca="false">B15/B7</f>
        <v>3.27751196172249</v>
      </c>
      <c r="C28" s="29" t="n">
        <f aca="false">C15/C7</f>
        <v>2.76923076923077</v>
      </c>
      <c r="D28" s="29" t="n">
        <f aca="false">D15/D7</f>
        <v>3.17747440273038</v>
      </c>
      <c r="E28" s="29" t="n">
        <f aca="false">E15/E7</f>
        <v>4.00337837837838</v>
      </c>
      <c r="F28" s="29" t="n">
        <f aca="false">F15/F7</f>
        <v>4.41071428571429</v>
      </c>
      <c r="G28" s="29" t="n">
        <f aca="false">G15/G7</f>
        <v>3.80140797680979</v>
      </c>
    </row>
    <row r="29" customFormat="false" ht="15" hidden="false" customHeight="true" outlineLevel="0" collapsed="false">
      <c r="A29" s="6" t="s">
        <v>15</v>
      </c>
      <c r="B29" s="29" t="n">
        <f aca="false">B18/B7</f>
        <v>3.27751196172249</v>
      </c>
      <c r="C29" s="29" t="n">
        <f aca="false">C18/C7</f>
        <v>2.76923076923077</v>
      </c>
      <c r="D29" s="29" t="n">
        <f aca="false">D18/D7</f>
        <v>3.17747440273038</v>
      </c>
      <c r="E29" s="29" t="n">
        <f aca="false">E18/E7</f>
        <v>3.26689189189189</v>
      </c>
      <c r="F29" s="29" t="n">
        <f aca="false">F18/F7</f>
        <v>3.60714285714286</v>
      </c>
      <c r="G29" s="29" t="n">
        <f aca="false">G18/G7</f>
        <v>3.07347878976111</v>
      </c>
    </row>
    <row r="30" customFormat="false" ht="15" hidden="false" customHeight="true" outlineLevel="0" collapsed="false">
      <c r="A30" s="6" t="s">
        <v>161</v>
      </c>
      <c r="B30" s="29" t="n">
        <f aca="false">B7/B10</f>
        <v>7.46428571428571</v>
      </c>
      <c r="C30" s="29" t="n">
        <f aca="false">C7/C10</f>
        <v>9.1</v>
      </c>
      <c r="D30" s="29" t="n">
        <f aca="false">D7/D10</f>
        <v>6.97619047619048</v>
      </c>
      <c r="E30" s="29" t="n">
        <f aca="false">E7/E10</f>
        <v>4.93333333333333</v>
      </c>
      <c r="F30" s="29" t="n">
        <f aca="false">F7/F10</f>
        <v>3.58974358974359</v>
      </c>
      <c r="G30" s="29" t="n">
        <f aca="false">G7/G10</f>
        <v>3.94632620491542</v>
      </c>
    </row>
    <row r="31" customFormat="false" ht="15" hidden="false" customHeight="true" outlineLevel="0" collapsed="false">
      <c r="A31" s="6" t="s">
        <v>162</v>
      </c>
      <c r="C31" s="23" t="n">
        <f aca="false">(C12+C10)/AVERAGE(C19,B19)</f>
        <v>0.15413393191171</v>
      </c>
      <c r="D31" s="23" t="n">
        <f aca="false">(D12+D10)/AVERAGE(D19,C19)</f>
        <v>0.147348364560178</v>
      </c>
      <c r="E31" s="23" t="n">
        <f aca="false">(E12+E10)/AVERAGE(E19,D19)</f>
        <v>0.119010005265929</v>
      </c>
      <c r="F31" s="23" t="n">
        <f aca="false">(F12+F10)/AVERAGE(F19,E19)</f>
        <v>0.0900186567164179</v>
      </c>
      <c r="G31" s="23" t="n">
        <f aca="false">(G12+G10)/AVERAGE(G19,F19)</f>
        <v>0.0933584345097486</v>
      </c>
    </row>
    <row r="32" customFormat="false" ht="15" hidden="false" customHeight="true" outlineLevel="0" collapsed="false">
      <c r="A32" s="6" t="s">
        <v>163</v>
      </c>
      <c r="C32" s="23" t="n">
        <f aca="false">C13/AVERAGE(C16,B16)</f>
        <v>0.207792207792208</v>
      </c>
      <c r="D32" s="23" t="n">
        <f aca="false">D13/AVERAGE(D16,C16)</f>
        <v>0.184678522571819</v>
      </c>
      <c r="E32" s="23" t="n">
        <f aca="false">E13/AVERAGE(E16,D16)</f>
        <v>0.146254458977408</v>
      </c>
      <c r="F32" s="23" t="n">
        <f aca="false">F13/AVERAGE(F16,E16)</f>
        <v>0.105995717344754</v>
      </c>
      <c r="G32" s="23" t="n">
        <f aca="false">G13/AVERAGE(G16,F16)</f>
        <v>0.0953116416797624</v>
      </c>
    </row>
    <row r="33" customFormat="false" ht="15" hidden="false" customHeight="true" outlineLevel="0" collapsed="false">
      <c r="A33" s="6" t="s">
        <v>164</v>
      </c>
      <c r="B33" s="23" t="n">
        <f aca="false">B20/B7</f>
        <v>0.717703349282297</v>
      </c>
      <c r="C33" s="23" t="n">
        <f aca="false">C20/C7</f>
        <v>0.586080586080586</v>
      </c>
      <c r="D33" s="23" t="n">
        <f aca="false">D20/D7</f>
        <v>0.508532423208191</v>
      </c>
      <c r="E33" s="23" t="n">
        <f aca="false">E20/E7</f>
        <v>0.614864864864865</v>
      </c>
      <c r="F33" s="23" t="n">
        <f aca="false">F20/F7</f>
        <v>0.814285714285714</v>
      </c>
    </row>
    <row r="34" customFormat="false" ht="15" hidden="false" customHeight="true" outlineLevel="0" collapsed="false">
      <c r="A34" s="6" t="s">
        <v>165</v>
      </c>
      <c r="B34" s="29" t="n">
        <f aca="false">B15/B20</f>
        <v>4.56666666666667</v>
      </c>
      <c r="C34" s="29" t="n">
        <f aca="false">C15/C20</f>
        <v>4.725</v>
      </c>
      <c r="D34" s="29" t="n">
        <f aca="false">D15/D20</f>
        <v>6.24832214765101</v>
      </c>
      <c r="E34" s="29" t="n">
        <f aca="false">E15/E20</f>
        <v>6.51098901098901</v>
      </c>
      <c r="F34" s="29" t="n">
        <f aca="false">F15/F20</f>
        <v>5.41666666666667</v>
      </c>
    </row>
    <row r="35" customFormat="false" ht="15" hidden="false" customHeight="true" outlineLevel="0" collapsed="false">
      <c r="A35" s="6" t="s">
        <v>166</v>
      </c>
      <c r="B35" s="30" t="n">
        <f aca="false">Source_Data!B28+Source_Data!B29-Source_Data!B30</f>
        <v>118</v>
      </c>
      <c r="C35" s="30" t="n">
        <f aca="false">Source_Data!C28+Source_Data!C29-Source_Data!C30</f>
        <v>123</v>
      </c>
      <c r="D35" s="30" t="n">
        <f aca="false">Source_Data!D28+Source_Data!D29-Source_Data!D30</f>
        <v>158</v>
      </c>
      <c r="E35" s="30" t="n">
        <f aca="false">Source_Data!E28+Source_Data!E29-Source_Data!E30</f>
        <v>178</v>
      </c>
      <c r="F35" s="30" t="n">
        <f aca="false">Source_Data!F28+Source_Data!F29-Source_Data!F30</f>
        <v>164</v>
      </c>
    </row>
    <row r="36" customFormat="false" ht="15" hidden="false" customHeight="true" outlineLevel="0" collapsed="false">
      <c r="A36" s="6" t="s">
        <v>167</v>
      </c>
      <c r="B36" s="29" t="n">
        <f aca="false">B6/(Source_Data!B19+Source_Data!B20)</f>
        <v>1.53225806451613</v>
      </c>
      <c r="C36" s="29" t="n">
        <f aca="false">C6/(Source_Data!C19+Source_Data!C20)</f>
        <v>1.68627450980392</v>
      </c>
      <c r="D36" s="29" t="n">
        <f aca="false">D6/(Source_Data!D19+Source_Data!D20)</f>
        <v>1.50578034682081</v>
      </c>
      <c r="E36" s="29" t="n">
        <f aca="false">E6/(Source_Data!E19+Source_Data!E20)</f>
        <v>1.13214550853749</v>
      </c>
      <c r="F36" s="29" t="n">
        <f aca="false">F6/(Source_Data!F19+Source_Data!F20)</f>
        <v>1.10724233983287</v>
      </c>
    </row>
    <row r="37" customFormat="false" ht="15" hidden="false" customHeight="true" outlineLevel="0" collapsed="false">
      <c r="A37" s="6" t="s">
        <v>168</v>
      </c>
      <c r="B37" s="31" t="n">
        <f aca="false">Source_Data!B20/(Source_Data!B19+Source_Data!B20)</f>
        <v>0.0483870967741936</v>
      </c>
      <c r="C37" s="31" t="n">
        <f aca="false">Source_Data!C20/(Source_Data!C19+Source_Data!C20)</f>
        <v>0.0726643598615917</v>
      </c>
      <c r="D37" s="31" t="n">
        <f aca="false">Source_Data!D20/(Source_Data!D19+Source_Data!D20)</f>
        <v>0.119460500963391</v>
      </c>
      <c r="E37" s="31" t="n">
        <f aca="false">Source_Data!E20/(Source_Data!E19+Source_Data!E20)</f>
        <v>0.284335560504826</v>
      </c>
      <c r="F37" s="31" t="n">
        <f aca="false">Source_Data!F20/(Source_Data!F19+Source_Data!F20)</f>
        <v>0.233286908077994</v>
      </c>
    </row>
    <row r="39" customFormat="false" ht="15" hidden="false" customHeight="true" outlineLevel="0" collapsed="false">
      <c r="A39" s="9" t="s">
        <v>169</v>
      </c>
    </row>
    <row r="40" customFormat="false" ht="15" hidden="false" customHeight="true" outlineLevel="0" collapsed="false">
      <c r="A40" s="6" t="s">
        <v>170</v>
      </c>
      <c r="C40" s="14" t="n">
        <f aca="false">(F6/C6)^(1/3)-1</f>
        <v>0.0283712277161499</v>
      </c>
    </row>
    <row r="41" customFormat="false" ht="15" hidden="false" customHeight="true" outlineLevel="0" collapsed="false">
      <c r="A41" s="6" t="s">
        <v>171</v>
      </c>
      <c r="C41" s="14" t="n">
        <f aca="false">(F7/C7)^(1/3)-1</f>
        <v>0.00847498034911154</v>
      </c>
    </row>
    <row r="42" customFormat="false" ht="15" hidden="false" customHeight="true" outlineLevel="0" collapsed="false">
      <c r="A42" s="6" t="s">
        <v>172</v>
      </c>
      <c r="C42" s="26" t="n">
        <f aca="false">F15-C15</f>
        <v>479</v>
      </c>
    </row>
    <row r="43" customFormat="false" ht="15" hidden="false" customHeight="true" outlineLevel="0" collapsed="false">
      <c r="A43" s="6" t="s">
        <v>173</v>
      </c>
      <c r="C43" s="26" t="n">
        <f aca="false">F7-C7</f>
        <v>7</v>
      </c>
    </row>
    <row r="44" customFormat="false" ht="15" hidden="false" customHeight="true" outlineLevel="0" collapsed="false">
      <c r="A44" s="6" t="s">
        <v>174</v>
      </c>
      <c r="C44" s="26" t="n">
        <f aca="false">SUM(C22:F22)</f>
        <v>-240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6" min="2" style="1" width="11"/>
  </cols>
  <sheetData>
    <row r="1" customFormat="false" ht="17.25" hidden="false" customHeight="true" outlineLevel="0" collapsed="false">
      <c r="A1" s="16" t="s">
        <v>175</v>
      </c>
    </row>
    <row r="2" customFormat="false" ht="15" hidden="false" customHeight="true" outlineLevel="0" collapsed="false">
      <c r="A2" s="3" t="s">
        <v>176</v>
      </c>
    </row>
    <row r="4" customFormat="false" ht="15" hidden="false" customHeight="true" outlineLevel="0" collapsed="false">
      <c r="A4" s="17" t="s">
        <v>177</v>
      </c>
      <c r="B4" s="17" t="s">
        <v>178</v>
      </c>
      <c r="C4" s="17" t="s">
        <v>114</v>
      </c>
      <c r="D4" s="17" t="s">
        <v>179</v>
      </c>
      <c r="E4" s="17" t="s">
        <v>180</v>
      </c>
      <c r="F4" s="17" t="s">
        <v>181</v>
      </c>
      <c r="G4" s="17" t="s">
        <v>182</v>
      </c>
      <c r="H4" s="17" t="s">
        <v>183</v>
      </c>
      <c r="I4" s="17" t="s">
        <v>184</v>
      </c>
    </row>
    <row r="5" customFormat="false" ht="15" hidden="false" customHeight="true" outlineLevel="0" collapsed="false">
      <c r="A5" s="6" t="s">
        <v>185</v>
      </c>
      <c r="B5" s="27" t="n">
        <f aca="false">Analysis!$F$7</f>
        <v>280</v>
      </c>
      <c r="C5" s="27" t="n">
        <f aca="false">Analysis!$F$10</f>
        <v>78</v>
      </c>
      <c r="D5" s="28" t="n">
        <f aca="false">MAX(0,B5+FY27E_Base!$B$6-C5-FY27E_Base!$B$7)*FY27E_Base!$B$11</f>
        <v>25</v>
      </c>
      <c r="E5" s="28" t="n">
        <f aca="false">B5+FY27E_Base!$B$6-C5-D5</f>
        <v>193</v>
      </c>
      <c r="F5" s="27" t="n">
        <f aca="false">Source_Data!$F$41/2+Source_Data!$F$42/2</f>
        <v>160</v>
      </c>
      <c r="G5" s="13" t="n">
        <f aca="false">(E5+C5)/(C5+F5)</f>
        <v>1.13865546218487</v>
      </c>
      <c r="H5" s="29" t="n">
        <f aca="false">E5/F5</f>
        <v>1.20625</v>
      </c>
      <c r="I5" s="29" t="n">
        <f aca="false">(E5+Analysis!$F$17)/F5</f>
        <v>2.6125</v>
      </c>
    </row>
    <row r="6" customFormat="false" ht="15" hidden="false" customHeight="true" outlineLevel="0" collapsed="false">
      <c r="A6" s="6" t="s">
        <v>186</v>
      </c>
      <c r="B6" s="27" t="n">
        <f aca="false">Analysis!$G$7</f>
        <v>309.096</v>
      </c>
      <c r="C6" s="27" t="n">
        <f aca="false">Analysis!$G$10</f>
        <v>78.325</v>
      </c>
      <c r="D6" s="28" t="n">
        <f aca="false">MAX(0,B6+FY27E_Base!$B$6-C6-FY27E_Base!$B$7)*FY27E_Base!$B$11</f>
        <v>32.19275</v>
      </c>
      <c r="E6" s="28" t="n">
        <f aca="false">B6+FY27E_Base!$B$6-C6-D6</f>
        <v>214.57825</v>
      </c>
      <c r="F6" s="27" t="n">
        <f aca="false">FY27E_Base!$B$9</f>
        <v>160</v>
      </c>
      <c r="G6" s="13" t="n">
        <f aca="false">(E6+C6)/(C6+F6)</f>
        <v>1.22900765761041</v>
      </c>
      <c r="H6" s="29" t="n">
        <f aca="false">E6/F6</f>
        <v>1.3411140625</v>
      </c>
      <c r="I6" s="29" t="n">
        <f aca="false">(E6+Analysis!$F$17)/F6</f>
        <v>2.7473640625</v>
      </c>
    </row>
    <row r="7" customFormat="false" ht="15" hidden="false" customHeight="true" outlineLevel="0" collapsed="false">
      <c r="A7" s="6" t="s">
        <v>187</v>
      </c>
      <c r="B7" s="27" t="n">
        <f aca="false">Analysis!$G$7*0.85</f>
        <v>262.7316</v>
      </c>
      <c r="C7" s="27" t="n">
        <f aca="false">Analysis!$G$10</f>
        <v>78.325</v>
      </c>
      <c r="D7" s="28" t="n">
        <f aca="false">MAX(0,B7+FY27E_Base!$B$6-C7-FY27E_Base!$B$7)*FY27E_Base!$B$11</f>
        <v>20.60165</v>
      </c>
      <c r="E7" s="28" t="n">
        <f aca="false">B7+FY27E_Base!$B$6-C7-D7</f>
        <v>179.80495</v>
      </c>
      <c r="F7" s="27" t="n">
        <f aca="false">FY27E_Base!$B$9</f>
        <v>160</v>
      </c>
      <c r="G7" s="13" t="n">
        <f aca="false">(E7+C7)/(C7+F7)</f>
        <v>1.083100597923</v>
      </c>
      <c r="H7" s="29" t="n">
        <f aca="false">E7/F7</f>
        <v>1.1237809375</v>
      </c>
      <c r="I7" s="29" t="n">
        <f aca="false">(E7+Analysis!$F$17)/F7</f>
        <v>2.5300309375</v>
      </c>
    </row>
    <row r="8" customFormat="false" ht="15" hidden="false" customHeight="true" outlineLevel="0" collapsed="false">
      <c r="A8" s="6" t="s">
        <v>188</v>
      </c>
      <c r="B8" s="27" t="n">
        <f aca="false">Analysis!$G$7*0.75</f>
        <v>231.822</v>
      </c>
      <c r="C8" s="27" t="n">
        <f aca="false">Analysis!$G$10</f>
        <v>78.325</v>
      </c>
      <c r="D8" s="28" t="n">
        <f aca="false">MAX(0,B8+FY27E_Base!$B$6-C8-FY27E_Base!$B$7)*FY27E_Base!$B$11</f>
        <v>12.87425</v>
      </c>
      <c r="E8" s="28" t="n">
        <f aca="false">B8+FY27E_Base!$B$6-C8-D8</f>
        <v>156.62275</v>
      </c>
      <c r="F8" s="27" t="n">
        <f aca="false">Source_Data!$F$42</f>
        <v>170</v>
      </c>
      <c r="G8" s="13" t="n">
        <f aca="false">(E8+C8)/(C8+F8)</f>
        <v>0.946130071478909</v>
      </c>
      <c r="H8" s="29" t="n">
        <f aca="false">E8/F8</f>
        <v>0.921310294117647</v>
      </c>
      <c r="I8" s="29" t="n">
        <f aca="false">(E8+Analysis!$F$17)/F8</f>
        <v>2.24483970588235</v>
      </c>
    </row>
    <row r="9" customFormat="false" ht="15" hidden="false" customHeight="true" outlineLevel="0" collapsed="false">
      <c r="A9" s="6" t="s">
        <v>189</v>
      </c>
      <c r="B9" s="27" t="n">
        <f aca="false">Analysis!$G$7*0.75</f>
        <v>231.822</v>
      </c>
      <c r="C9" s="27" t="n">
        <f aca="false">Analysis!$G$10+0.02*Analysis!$G$15</f>
        <v>101.825</v>
      </c>
      <c r="D9" s="28" t="n">
        <f aca="false">MAX(0,B9+FY27E_Base!$B$6-C9-FY27E_Base!$B$7)*FY27E_Base!$B$11</f>
        <v>6.99925</v>
      </c>
      <c r="E9" s="28" t="n">
        <f aca="false">B9+FY27E_Base!$B$6-C9-D9</f>
        <v>138.99775</v>
      </c>
      <c r="F9" s="27" t="n">
        <f aca="false">Source_Data!$F$42</f>
        <v>170</v>
      </c>
      <c r="G9" s="13" t="n">
        <f aca="false">(E9+C9)/(C9+F9)</f>
        <v>0.88594776050768</v>
      </c>
      <c r="H9" s="29" t="n">
        <f aca="false">E9/F9</f>
        <v>0.817633823529412</v>
      </c>
      <c r="I9" s="29" t="n">
        <f aca="false">(E9+Analysis!$F$17)/F9</f>
        <v>2.14116323529412</v>
      </c>
    </row>
    <row r="11" customFormat="false" ht="15" hidden="false" customHeight="true" outlineLevel="0" collapsed="false">
      <c r="A11" s="3" t="s">
        <v>190</v>
      </c>
    </row>
    <row r="13" customFormat="false" ht="15" hidden="false" customHeight="true" outlineLevel="0" collapsed="false">
      <c r="A13" s="9" t="s">
        <v>191</v>
      </c>
      <c r="G13" s="14" t="n">
        <f aca="false">((E6-F6)/(1-FY27E_Base!$B$11))/B6</f>
        <v>0.235431710536532</v>
      </c>
    </row>
  </sheetData>
  <conditionalFormatting sqref="G5">
    <cfRule type="cellIs" priority="2" operator="lessThan" aboveAverage="0" equalAverage="0" bottom="0" percent="0" rank="0" text="" dxfId="0">
      <formula>1</formula>
    </cfRule>
  </conditionalFormatting>
  <conditionalFormatting sqref="G6">
    <cfRule type="cellIs" priority="3" operator="lessThan" aboveAverage="0" equalAverage="0" bottom="0" percent="0" rank="0" text="" dxfId="0">
      <formula>1</formula>
    </cfRule>
  </conditionalFormatting>
  <conditionalFormatting sqref="G7">
    <cfRule type="cellIs" priority="4" operator="lessThan" aboveAverage="0" equalAverage="0" bottom="0" percent="0" rank="0" text="" dxfId="0">
      <formula>1</formula>
    </cfRule>
  </conditionalFormatting>
  <conditionalFormatting sqref="G8">
    <cfRule type="cellIs" priority="5" operator="lessThan" aboveAverage="0" equalAverage="0" bottom="0" percent="0" rank="0" text="" dxfId="0">
      <formula>1</formula>
    </cfRule>
  </conditionalFormatting>
  <conditionalFormatting sqref="G9">
    <cfRule type="cellIs" priority="6" operator="less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"/>
    <col collapsed="false" customWidth="true" hidden="false" outlineLevel="0" max="4" min="3" style="1" width="10"/>
    <col collapsed="false" customWidth="true" hidden="false" outlineLevel="0" max="5" min="5" style="1" width="7"/>
    <col collapsed="false" customWidth="true" hidden="false" outlineLevel="0" max="6" min="6" style="1" width="8"/>
    <col collapsed="false" customWidth="true" hidden="false" outlineLevel="0" max="7" min="7" style="1" width="70"/>
    <col collapsed="false" customWidth="true" hidden="false" outlineLevel="0" max="9" min="8" style="1" width="11"/>
    <col collapsed="false" customWidth="true" hidden="false" outlineLevel="0" max="17" min="10" style="1" width="7"/>
  </cols>
  <sheetData>
    <row r="1" customFormat="false" ht="17.25" hidden="false" customHeight="true" outlineLevel="0" collapsed="false">
      <c r="A1" s="16" t="s">
        <v>192</v>
      </c>
    </row>
    <row r="2" customFormat="false" ht="15" hidden="false" customHeight="true" outlineLevel="0" collapsed="false">
      <c r="A2" s="3" t="s">
        <v>193</v>
      </c>
    </row>
    <row r="3" customFormat="false" ht="15" hidden="false" customHeight="true" outlineLevel="0" collapsed="false">
      <c r="A3" s="9" t="s">
        <v>194</v>
      </c>
      <c r="C3" s="32" t="s">
        <v>195</v>
      </c>
      <c r="G3" s="3" t="s">
        <v>196</v>
      </c>
    </row>
    <row r="4" customFormat="false" ht="15" hidden="false" customHeight="true" outlineLevel="0" collapsed="false">
      <c r="A4" s="9" t="s">
        <v>197</v>
      </c>
      <c r="C4" s="24" t="n">
        <v>0.6</v>
      </c>
    </row>
    <row r="6" customFormat="false" ht="15" hidden="false" customHeight="true" outlineLevel="0" collapsed="false">
      <c r="A6" s="17" t="s">
        <v>198</v>
      </c>
      <c r="B6" s="17" t="s">
        <v>199</v>
      </c>
      <c r="C6" s="17" t="s">
        <v>29</v>
      </c>
      <c r="D6" s="17" t="s">
        <v>30</v>
      </c>
      <c r="E6" s="17" t="s">
        <v>200</v>
      </c>
      <c r="F6" s="17" t="s">
        <v>201</v>
      </c>
      <c r="G6" s="17" t="s">
        <v>122</v>
      </c>
    </row>
    <row r="7" customFormat="false" ht="15" hidden="false" customHeight="true" outlineLevel="0" collapsed="false">
      <c r="A7" s="4" t="s">
        <v>202</v>
      </c>
      <c r="B7" s="5"/>
      <c r="C7" s="5"/>
      <c r="D7" s="5"/>
      <c r="E7" s="5"/>
      <c r="F7" s="5"/>
      <c r="G7" s="5"/>
    </row>
    <row r="8" customFormat="false" ht="15" hidden="false" customHeight="true" outlineLevel="0" collapsed="false">
      <c r="A8" s="6" t="s">
        <v>13</v>
      </c>
      <c r="B8" s="19" t="n">
        <v>0.1</v>
      </c>
      <c r="C8" s="33" t="n">
        <f aca="false">IF($C$3="Net",Analysis!$F$29,Analysis!$F$28)</f>
        <v>4.41071428571429</v>
      </c>
      <c r="D8" s="33" t="n">
        <f aca="false">IF($C$3="Net",Analysis!$G$29,Analysis!$G$28)</f>
        <v>3.80140797680979</v>
      </c>
      <c r="E8" s="29" t="n">
        <f aca="false">$C$4*C8+(1-$C$4)*D8</f>
        <v>4.16699176215249</v>
      </c>
      <c r="F8" s="34" t="n">
        <f aca="false">INDEX($J$41:$Q$41,MATCH(E8,$J$40:$Q$40,1))</f>
        <v>5</v>
      </c>
      <c r="G8" s="3" t="s">
        <v>203</v>
      </c>
    </row>
    <row r="9" customFormat="false" ht="15" hidden="false" customHeight="true" outlineLevel="0" collapsed="false">
      <c r="A9" s="6" t="s">
        <v>204</v>
      </c>
      <c r="B9" s="19" t="n">
        <v>0.08</v>
      </c>
      <c r="C9" s="33" t="n">
        <f aca="false">IF($C$3="Net",Analysis!$F$27,Analysis!$F$26)</f>
        <v>1.26666666666667</v>
      </c>
      <c r="D9" s="33" t="n">
        <f aca="false">IF($C$3="Net",Analysis!$G$27,Analysis!$G$26)</f>
        <v>1.11736810836474</v>
      </c>
      <c r="E9" s="29" t="n">
        <f aca="false">$C$4*C9+(1-$C$4)*D9</f>
        <v>1.20694724334589</v>
      </c>
      <c r="F9" s="34" t="n">
        <f aca="false">INDEX($J$44:$Q$44,MATCH(E9,$J$43:$Q$43,1))</f>
        <v>6</v>
      </c>
      <c r="G9" s="3" t="s">
        <v>205</v>
      </c>
    </row>
    <row r="10" customFormat="false" ht="15" hidden="false" customHeight="true" outlineLevel="0" collapsed="false">
      <c r="A10" s="6" t="s">
        <v>161</v>
      </c>
      <c r="B10" s="19" t="n">
        <v>0.07</v>
      </c>
      <c r="C10" s="33" t="n">
        <f aca="false">Analysis!$F$30</f>
        <v>3.58974358974359</v>
      </c>
      <c r="D10" s="33" t="n">
        <f aca="false">Analysis!$G$30</f>
        <v>3.94632620491542</v>
      </c>
      <c r="E10" s="29" t="n">
        <f aca="false">$C$4*C10+(1-$C$4)*D10</f>
        <v>3.73237663581232</v>
      </c>
      <c r="F10" s="34" t="n">
        <f aca="false">INDEX($J$47:$Q$47,MATCH(E10,$J$46:$Q$46,1))</f>
        <v>8</v>
      </c>
      <c r="G10" s="3" t="s">
        <v>206</v>
      </c>
    </row>
    <row r="11" customFormat="false" ht="15" hidden="false" customHeight="true" outlineLevel="0" collapsed="false">
      <c r="A11" s="6" t="s">
        <v>207</v>
      </c>
      <c r="B11" s="19" t="n">
        <v>0.08</v>
      </c>
      <c r="C11" s="33" t="n">
        <f aca="false">Analysis!$F$14/(Source_Data!$F$41/2+Source_Data!$F$42/2)</f>
        <v>1.2625</v>
      </c>
      <c r="D11" s="33" t="n">
        <f aca="false">Analysis!$G$14/FY27E_Base!$B$9</f>
        <v>1.3411140625</v>
      </c>
      <c r="E11" s="29" t="n">
        <f aca="false">$C$4*C11+(1-$C$4)*D11</f>
        <v>1.293945625</v>
      </c>
      <c r="F11" s="34" t="n">
        <f aca="false">INDEX($J$50:$Q$50,MATCH(E11,$J$49:$Q$49,1))</f>
        <v>5</v>
      </c>
      <c r="G11" s="3" t="s">
        <v>208</v>
      </c>
    </row>
    <row r="12" customFormat="false" ht="15" hidden="false" customHeight="true" outlineLevel="0" collapsed="false">
      <c r="A12" s="6" t="s">
        <v>19</v>
      </c>
      <c r="B12" s="19" t="n">
        <v>0.06</v>
      </c>
      <c r="C12" s="31" t="n">
        <f aca="false">Analysis!$F$31</f>
        <v>0.0900186567164179</v>
      </c>
      <c r="D12" s="31" t="n">
        <f aca="false">Analysis!$G$31</f>
        <v>0.0933584345097486</v>
      </c>
      <c r="E12" s="23" t="n">
        <f aca="false">$C$4*C12+(1-$C$4)*D12</f>
        <v>0.0913545678337502</v>
      </c>
      <c r="F12" s="34" t="n">
        <f aca="false">INDEX($J$53:$Q$53,MATCH(E12,$J$52:$Q$52,1))</f>
        <v>4</v>
      </c>
      <c r="G12" s="3" t="s">
        <v>209</v>
      </c>
    </row>
    <row r="13" customFormat="false" ht="15" hidden="false" customHeight="true" outlineLevel="0" collapsed="false">
      <c r="A13" s="6" t="s">
        <v>7</v>
      </c>
      <c r="B13" s="19" t="n">
        <v>0.04</v>
      </c>
      <c r="C13" s="31" t="n">
        <f aca="false">Analysis!$F$8</f>
        <v>0.176100628930818</v>
      </c>
      <c r="D13" s="31" t="n">
        <f aca="false">Analysis!$G$8</f>
        <v>0.18</v>
      </c>
      <c r="E13" s="23" t="n">
        <f aca="false">$C$4*C13+(1-$C$4)*D13</f>
        <v>0.177660377358491</v>
      </c>
      <c r="F13" s="34" t="n">
        <f aca="false">INDEX($J$56:$Q$56,MATCH(E13,$J$55:$Q$55,1))</f>
        <v>8</v>
      </c>
      <c r="G13" s="3" t="s">
        <v>210</v>
      </c>
    </row>
    <row r="14" customFormat="false" ht="15" hidden="false" customHeight="true" outlineLevel="0" collapsed="false">
      <c r="A14" s="6" t="s">
        <v>211</v>
      </c>
      <c r="B14" s="19" t="n">
        <v>0.04</v>
      </c>
      <c r="C14" s="27" t="n">
        <f aca="false">Analysis!$F$6</f>
        <v>1590</v>
      </c>
      <c r="D14" s="27" t="n">
        <f aca="false">Analysis!$G$6</f>
        <v>1717.2</v>
      </c>
      <c r="E14" s="28" t="n">
        <f aca="false">$C$4*C14+(1-$C$4)*D14</f>
        <v>1640.88</v>
      </c>
      <c r="F14" s="34" t="n">
        <f aca="false">INDEX($J$59:$Q$59,MATCH(E14,$J$58:$Q$58,1))</f>
        <v>7</v>
      </c>
      <c r="G14" s="3" t="s">
        <v>212</v>
      </c>
    </row>
    <row r="15" customFormat="false" ht="15" hidden="false" customHeight="true" outlineLevel="0" collapsed="false">
      <c r="A15" s="6" t="s">
        <v>213</v>
      </c>
      <c r="B15" s="19" t="n">
        <v>0.03</v>
      </c>
      <c r="C15" s="31" t="n">
        <f aca="false">Analysis!$F$33</f>
        <v>0.814285714285714</v>
      </c>
      <c r="D15" s="31" t="n">
        <f aca="false">Analysis!$F$33</f>
        <v>0.814285714285714</v>
      </c>
      <c r="E15" s="23" t="n">
        <f aca="false">$C$4*C15+(1-$C$4)*D15</f>
        <v>0.814285714285714</v>
      </c>
      <c r="F15" s="34" t="n">
        <f aca="false">INDEX($J$62:$Q$62,MATCH(E15,$J$61:$Q$61,1))</f>
        <v>8</v>
      </c>
      <c r="G15" s="3" t="s">
        <v>214</v>
      </c>
    </row>
    <row r="16" customFormat="false" ht="15" hidden="false" customHeight="true" outlineLevel="0" collapsed="false">
      <c r="A16" s="4" t="s">
        <v>215</v>
      </c>
      <c r="B16" s="5"/>
      <c r="C16" s="5"/>
      <c r="D16" s="5"/>
      <c r="E16" s="5"/>
      <c r="F16" s="5"/>
      <c r="G16" s="5"/>
    </row>
    <row r="17" customFormat="false" ht="15" hidden="false" customHeight="true" outlineLevel="0" collapsed="false">
      <c r="A17" s="6" t="s">
        <v>216</v>
      </c>
      <c r="B17" s="19" t="n">
        <v>0.05</v>
      </c>
      <c r="F17" s="35" t="n">
        <v>9</v>
      </c>
      <c r="G17" s="3" t="s">
        <v>217</v>
      </c>
    </row>
    <row r="18" customFormat="false" ht="15" hidden="false" customHeight="true" outlineLevel="0" collapsed="false">
      <c r="A18" s="6" t="s">
        <v>218</v>
      </c>
      <c r="B18" s="19" t="n">
        <v>0.05</v>
      </c>
      <c r="F18" s="35" t="n">
        <v>8</v>
      </c>
      <c r="G18" s="3" t="s">
        <v>219</v>
      </c>
    </row>
    <row r="19" customFormat="false" ht="15" hidden="false" customHeight="true" outlineLevel="0" collapsed="false">
      <c r="A19" s="6" t="s">
        <v>220</v>
      </c>
      <c r="B19" s="19" t="n">
        <v>0.05</v>
      </c>
      <c r="F19" s="35" t="n">
        <v>5</v>
      </c>
      <c r="G19" s="3" t="s">
        <v>221</v>
      </c>
    </row>
    <row r="20" customFormat="false" ht="15" hidden="false" customHeight="true" outlineLevel="0" collapsed="false">
      <c r="A20" s="6" t="s">
        <v>222</v>
      </c>
      <c r="B20" s="19" t="n">
        <v>0.05</v>
      </c>
      <c r="F20" s="35" t="n">
        <v>4</v>
      </c>
      <c r="G20" s="3" t="s">
        <v>223</v>
      </c>
    </row>
    <row r="21" customFormat="false" ht="15" hidden="false" customHeight="true" outlineLevel="0" collapsed="false">
      <c r="A21" s="6" t="s">
        <v>224</v>
      </c>
      <c r="B21" s="19" t="n">
        <v>0.05</v>
      </c>
      <c r="F21" s="35" t="n">
        <v>6</v>
      </c>
      <c r="G21" s="3" t="s">
        <v>225</v>
      </c>
    </row>
    <row r="22" customFormat="false" ht="15" hidden="false" customHeight="true" outlineLevel="0" collapsed="false">
      <c r="A22" s="4" t="s">
        <v>226</v>
      </c>
      <c r="B22" s="5"/>
      <c r="C22" s="5"/>
      <c r="D22" s="5"/>
      <c r="E22" s="5"/>
      <c r="F22" s="5"/>
      <c r="G22" s="5"/>
    </row>
    <row r="23" customFormat="false" ht="15" hidden="false" customHeight="true" outlineLevel="0" collapsed="false">
      <c r="A23" s="6" t="s">
        <v>227</v>
      </c>
      <c r="B23" s="19" t="n">
        <v>0.05</v>
      </c>
      <c r="F23" s="35" t="n">
        <v>8</v>
      </c>
      <c r="G23" s="3" t="s">
        <v>228</v>
      </c>
    </row>
    <row r="24" customFormat="false" ht="15" hidden="false" customHeight="true" outlineLevel="0" collapsed="false">
      <c r="A24" s="6" t="s">
        <v>229</v>
      </c>
      <c r="B24" s="19" t="n">
        <v>0.05</v>
      </c>
      <c r="F24" s="35" t="n">
        <v>7</v>
      </c>
      <c r="G24" s="3" t="s">
        <v>230</v>
      </c>
    </row>
    <row r="25" customFormat="false" ht="15" hidden="false" customHeight="true" outlineLevel="0" collapsed="false">
      <c r="A25" s="4" t="s">
        <v>231</v>
      </c>
      <c r="B25" s="5"/>
      <c r="C25" s="5"/>
      <c r="D25" s="5"/>
      <c r="E25" s="5"/>
      <c r="F25" s="5"/>
      <c r="G25" s="5"/>
    </row>
    <row r="26" customFormat="false" ht="15" hidden="false" customHeight="true" outlineLevel="0" collapsed="false">
      <c r="A26" s="6" t="s">
        <v>232</v>
      </c>
      <c r="B26" s="19" t="n">
        <v>0.05</v>
      </c>
      <c r="F26" s="35" t="n">
        <v>8</v>
      </c>
      <c r="G26" s="3" t="s">
        <v>233</v>
      </c>
    </row>
    <row r="27" customFormat="false" ht="15" hidden="false" customHeight="true" outlineLevel="0" collapsed="false">
      <c r="A27" s="6" t="s">
        <v>234</v>
      </c>
      <c r="B27" s="19" t="n">
        <v>0.05</v>
      </c>
      <c r="F27" s="35" t="n">
        <v>7</v>
      </c>
      <c r="G27" s="3" t="s">
        <v>235</v>
      </c>
    </row>
    <row r="28" customFormat="false" ht="15" hidden="false" customHeight="true" outlineLevel="0" collapsed="false">
      <c r="A28" s="6" t="s">
        <v>236</v>
      </c>
      <c r="B28" s="19" t="n">
        <v>0.05</v>
      </c>
      <c r="F28" s="35" t="n">
        <v>8</v>
      </c>
      <c r="G28" s="3" t="s">
        <v>237</v>
      </c>
    </row>
    <row r="30" customFormat="false" ht="15" hidden="false" customHeight="true" outlineLevel="0" collapsed="false">
      <c r="A30" s="9" t="s">
        <v>238</v>
      </c>
      <c r="B30" s="14" t="n">
        <f aca="false">SUM(B8:B28)</f>
        <v>1</v>
      </c>
    </row>
    <row r="31" customFormat="false" ht="15" hidden="false" customHeight="true" outlineLevel="0" collapsed="false">
      <c r="A31" s="6" t="s">
        <v>239</v>
      </c>
      <c r="F31" s="36" t="n">
        <f aca="false">SUMPRODUCT(B8:B15,F8:F15)/SUM(B8:B15)</f>
        <v>6.04</v>
      </c>
    </row>
    <row r="32" customFormat="false" ht="15" hidden="false" customHeight="true" outlineLevel="0" collapsed="false">
      <c r="A32" s="9" t="s">
        <v>240</v>
      </c>
      <c r="F32" s="11" t="n">
        <f aca="false">SUMPRODUCT(B8:B28,F8:F28)</f>
        <v>6.52</v>
      </c>
    </row>
    <row r="33" customFormat="false" ht="15" hidden="false" customHeight="true" outlineLevel="0" collapsed="false">
      <c r="A33" s="9" t="s">
        <v>241</v>
      </c>
      <c r="F33" s="7" t="str">
        <f aca="false">INDEX($B$40:$B$52,MATCH(F32,$A$40:$A$52,1))</f>
        <v>BBB</v>
      </c>
    </row>
    <row r="34" customFormat="false" ht="15" hidden="false" customHeight="true" outlineLevel="0" collapsed="false">
      <c r="A34" s="6" t="s">
        <v>242</v>
      </c>
      <c r="F34" s="37" t="n">
        <f aca="false">INDEX($D$40:$D$52,MATCH(F32,$A$40:$A$52,1))</f>
        <v>0.01</v>
      </c>
    </row>
    <row r="35" customFormat="false" ht="15" hidden="false" customHeight="true" outlineLevel="0" collapsed="false">
      <c r="A35" s="6" t="s">
        <v>243</v>
      </c>
      <c r="F35" s="38" t="s">
        <v>244</v>
      </c>
      <c r="G35" s="3" t="s">
        <v>245</v>
      </c>
    </row>
    <row r="36" customFormat="false" ht="15" hidden="false" customHeight="true" outlineLevel="0" collapsed="false">
      <c r="A36" s="9" t="s">
        <v>246</v>
      </c>
      <c r="F36" s="9" t="n">
        <f aca="false">INDEX($C$40:$C$52,MATCH(F33,$B$40:$B$52,0))-INDEX($C$40:$C$52,MATCH(F35,$B$40:$B$52,0))</f>
        <v>3</v>
      </c>
    </row>
    <row r="38" customFormat="false" ht="15" hidden="false" customHeight="true" outlineLevel="0" collapsed="false">
      <c r="A38" s="9" t="s">
        <v>247</v>
      </c>
    </row>
    <row r="39" customFormat="false" ht="15" hidden="false" customHeight="true" outlineLevel="0" collapsed="false">
      <c r="A39" s="17" t="s">
        <v>248</v>
      </c>
      <c r="B39" s="17" t="s">
        <v>249</v>
      </c>
      <c r="C39" s="17" t="s">
        <v>250</v>
      </c>
      <c r="D39" s="17" t="s">
        <v>251</v>
      </c>
      <c r="I39" s="9" t="s">
        <v>252</v>
      </c>
    </row>
    <row r="40" customFormat="false" ht="15" hidden="false" customHeight="true" outlineLevel="0" collapsed="false">
      <c r="A40" s="39" t="n">
        <v>0</v>
      </c>
      <c r="B40" s="40" t="s">
        <v>253</v>
      </c>
      <c r="C40" s="41" t="n">
        <v>13</v>
      </c>
      <c r="D40" s="42" t="n">
        <v>1</v>
      </c>
      <c r="I40" s="9" t="s">
        <v>254</v>
      </c>
      <c r="J40" s="43" t="n">
        <v>0</v>
      </c>
      <c r="K40" s="43" t="n">
        <v>1</v>
      </c>
      <c r="L40" s="43" t="n">
        <v>1.75</v>
      </c>
      <c r="M40" s="43" t="n">
        <v>2.5</v>
      </c>
      <c r="N40" s="43" t="n">
        <v>3</v>
      </c>
      <c r="O40" s="43" t="n">
        <v>3.5</v>
      </c>
      <c r="P40" s="43" t="n">
        <v>4.25</v>
      </c>
      <c r="Q40" s="43" t="n">
        <v>5.5</v>
      </c>
    </row>
    <row r="41" customFormat="false" ht="15" hidden="false" customHeight="true" outlineLevel="0" collapsed="false">
      <c r="A41" s="39" t="n">
        <v>3</v>
      </c>
      <c r="B41" s="40" t="s">
        <v>255</v>
      </c>
      <c r="C41" s="41" t="n">
        <v>12</v>
      </c>
      <c r="D41" s="42" t="n">
        <v>0.25</v>
      </c>
      <c r="J41" s="41" t="n">
        <v>10</v>
      </c>
      <c r="K41" s="41" t="n">
        <v>9</v>
      </c>
      <c r="L41" s="41" t="n">
        <v>8</v>
      </c>
      <c r="M41" s="41" t="n">
        <v>7</v>
      </c>
      <c r="N41" s="41" t="n">
        <v>6</v>
      </c>
      <c r="O41" s="41" t="n">
        <v>5</v>
      </c>
      <c r="P41" s="41" t="n">
        <v>3</v>
      </c>
      <c r="Q41" s="41" t="n">
        <v>1</v>
      </c>
    </row>
    <row r="42" customFormat="false" ht="15" hidden="false" customHeight="true" outlineLevel="0" collapsed="false">
      <c r="A42" s="39" t="n">
        <v>4</v>
      </c>
      <c r="B42" s="40" t="s">
        <v>256</v>
      </c>
      <c r="C42" s="41" t="n">
        <v>11</v>
      </c>
      <c r="D42" s="42" t="n">
        <v>0.1</v>
      </c>
    </row>
    <row r="43" customFormat="false" ht="15" hidden="false" customHeight="true" outlineLevel="0" collapsed="false">
      <c r="A43" s="39" t="n">
        <v>4.6</v>
      </c>
      <c r="B43" s="40" t="s">
        <v>257</v>
      </c>
      <c r="C43" s="41" t="n">
        <v>10</v>
      </c>
      <c r="D43" s="42" t="n">
        <v>0.05</v>
      </c>
      <c r="I43" s="9" t="s">
        <v>258</v>
      </c>
      <c r="J43" s="43" t="n">
        <v>0</v>
      </c>
      <c r="K43" s="43" t="n">
        <v>0.25</v>
      </c>
      <c r="L43" s="43" t="n">
        <v>0.5</v>
      </c>
      <c r="M43" s="43" t="n">
        <v>0.8</v>
      </c>
      <c r="N43" s="43" t="n">
        <v>1</v>
      </c>
      <c r="O43" s="43" t="n">
        <v>1.25</v>
      </c>
      <c r="P43" s="43" t="n">
        <v>1.5</v>
      </c>
      <c r="Q43" s="43" t="n">
        <v>2.5</v>
      </c>
    </row>
    <row r="44" customFormat="false" ht="15" hidden="false" customHeight="true" outlineLevel="0" collapsed="false">
      <c r="A44" s="39" t="n">
        <v>5</v>
      </c>
      <c r="B44" s="40" t="s">
        <v>259</v>
      </c>
      <c r="C44" s="41" t="n">
        <v>9</v>
      </c>
      <c r="D44" s="42" t="n">
        <v>0.035</v>
      </c>
      <c r="J44" s="41" t="n">
        <v>10</v>
      </c>
      <c r="K44" s="41" t="n">
        <v>9</v>
      </c>
      <c r="L44" s="41" t="n">
        <v>8</v>
      </c>
      <c r="M44" s="41" t="n">
        <v>7</v>
      </c>
      <c r="N44" s="41" t="n">
        <v>6</v>
      </c>
      <c r="O44" s="41" t="n">
        <v>5</v>
      </c>
      <c r="P44" s="41" t="n">
        <v>4</v>
      </c>
      <c r="Q44" s="41" t="n">
        <v>1</v>
      </c>
    </row>
    <row r="45" customFormat="false" ht="15" hidden="false" customHeight="true" outlineLevel="0" collapsed="false">
      <c r="A45" s="39" t="n">
        <v>5.4</v>
      </c>
      <c r="B45" s="40" t="s">
        <v>260</v>
      </c>
      <c r="C45" s="41" t="n">
        <v>8</v>
      </c>
      <c r="D45" s="42" t="n">
        <v>0.025</v>
      </c>
    </row>
    <row r="46" customFormat="false" ht="15" hidden="false" customHeight="true" outlineLevel="0" collapsed="false">
      <c r="A46" s="39" t="n">
        <v>5.8</v>
      </c>
      <c r="B46" s="40" t="s">
        <v>261</v>
      </c>
      <c r="C46" s="41" t="n">
        <v>7</v>
      </c>
      <c r="D46" s="42" t="n">
        <v>0.015</v>
      </c>
      <c r="I46" s="9" t="s">
        <v>262</v>
      </c>
      <c r="J46" s="43" t="n">
        <v>0</v>
      </c>
      <c r="K46" s="43" t="n">
        <v>1.5</v>
      </c>
      <c r="L46" s="43" t="n">
        <v>2</v>
      </c>
      <c r="M46" s="43" t="n">
        <v>2.5</v>
      </c>
      <c r="N46" s="43" t="n">
        <v>3</v>
      </c>
      <c r="O46" s="43" t="n">
        <v>3.5</v>
      </c>
      <c r="P46" s="43" t="n">
        <v>4.5</v>
      </c>
      <c r="Q46" s="43" t="n">
        <v>6</v>
      </c>
    </row>
    <row r="47" customFormat="false" ht="15" hidden="false" customHeight="true" outlineLevel="0" collapsed="false">
      <c r="A47" s="39" t="n">
        <v>6.2</v>
      </c>
      <c r="B47" s="40" t="s">
        <v>263</v>
      </c>
      <c r="C47" s="41" t="n">
        <v>6</v>
      </c>
      <c r="D47" s="42" t="n">
        <v>0.01</v>
      </c>
      <c r="J47" s="41" t="n">
        <v>1</v>
      </c>
      <c r="K47" s="41" t="n">
        <v>3</v>
      </c>
      <c r="L47" s="41" t="n">
        <v>5</v>
      </c>
      <c r="M47" s="41" t="n">
        <v>6</v>
      </c>
      <c r="N47" s="41" t="n">
        <v>7</v>
      </c>
      <c r="O47" s="41" t="n">
        <v>8</v>
      </c>
      <c r="P47" s="41" t="n">
        <v>9</v>
      </c>
      <c r="Q47" s="41" t="n">
        <v>10</v>
      </c>
    </row>
    <row r="48" customFormat="false" ht="15" hidden="false" customHeight="true" outlineLevel="0" collapsed="false">
      <c r="A48" s="39" t="n">
        <v>6.6</v>
      </c>
      <c r="B48" s="40" t="s">
        <v>264</v>
      </c>
      <c r="C48" s="41" t="n">
        <v>5</v>
      </c>
      <c r="D48" s="42" t="n">
        <v>0.006</v>
      </c>
    </row>
    <row r="49" customFormat="false" ht="15" hidden="false" customHeight="true" outlineLevel="0" collapsed="false">
      <c r="A49" s="39" t="n">
        <v>7</v>
      </c>
      <c r="B49" s="40" t="s">
        <v>265</v>
      </c>
      <c r="C49" s="41" t="n">
        <v>4</v>
      </c>
      <c r="D49" s="42" t="n">
        <v>0.004</v>
      </c>
      <c r="I49" s="9" t="s">
        <v>266</v>
      </c>
      <c r="J49" s="43" t="n">
        <v>0</v>
      </c>
      <c r="K49" s="43" t="n">
        <v>0.8</v>
      </c>
      <c r="L49" s="43" t="n">
        <v>1</v>
      </c>
      <c r="M49" s="43" t="n">
        <v>1.2</v>
      </c>
      <c r="N49" s="43" t="n">
        <v>1.4</v>
      </c>
      <c r="O49" s="43" t="n">
        <v>1.7</v>
      </c>
      <c r="P49" s="43" t="n">
        <v>2</v>
      </c>
      <c r="Q49" s="43" t="n">
        <v>2.5</v>
      </c>
    </row>
    <row r="50" customFormat="false" ht="15" hidden="false" customHeight="true" outlineLevel="0" collapsed="false">
      <c r="A50" s="39" t="n">
        <v>7.5</v>
      </c>
      <c r="B50" s="40" t="s">
        <v>244</v>
      </c>
      <c r="C50" s="41" t="n">
        <v>3</v>
      </c>
      <c r="D50" s="42" t="n">
        <v>0.0025</v>
      </c>
      <c r="J50" s="41" t="n">
        <v>1</v>
      </c>
      <c r="K50" s="41" t="n">
        <v>2</v>
      </c>
      <c r="L50" s="41" t="n">
        <v>4</v>
      </c>
      <c r="M50" s="41" t="n">
        <v>5</v>
      </c>
      <c r="N50" s="41" t="n">
        <v>6</v>
      </c>
      <c r="O50" s="41" t="n">
        <v>7</v>
      </c>
      <c r="P50" s="41" t="n">
        <v>8</v>
      </c>
      <c r="Q50" s="41" t="n">
        <v>10</v>
      </c>
    </row>
    <row r="51" customFormat="false" ht="15" hidden="false" customHeight="true" outlineLevel="0" collapsed="false">
      <c r="A51" s="39" t="n">
        <v>8</v>
      </c>
      <c r="B51" s="40" t="s">
        <v>267</v>
      </c>
      <c r="C51" s="41" t="n">
        <v>2</v>
      </c>
      <c r="D51" s="42" t="n">
        <v>0.0015</v>
      </c>
    </row>
    <row r="52" customFormat="false" ht="15" hidden="false" customHeight="true" outlineLevel="0" collapsed="false">
      <c r="A52" s="39" t="n">
        <v>8.5</v>
      </c>
      <c r="B52" s="40" t="s">
        <v>268</v>
      </c>
      <c r="C52" s="41" t="n">
        <v>1</v>
      </c>
      <c r="D52" s="42" t="n">
        <v>0.0008</v>
      </c>
      <c r="I52" s="9" t="s">
        <v>269</v>
      </c>
      <c r="J52" s="43" t="n">
        <v>0</v>
      </c>
      <c r="K52" s="43" t="n">
        <v>0.05</v>
      </c>
      <c r="L52" s="43" t="n">
        <v>0.08</v>
      </c>
      <c r="M52" s="43" t="n">
        <v>0.1</v>
      </c>
      <c r="N52" s="43" t="n">
        <v>0.12</v>
      </c>
      <c r="O52" s="43" t="n">
        <v>0.15</v>
      </c>
      <c r="P52" s="43" t="n">
        <v>0.18</v>
      </c>
      <c r="Q52" s="43" t="n">
        <v>0.22</v>
      </c>
    </row>
    <row r="53" customFormat="false" ht="15" hidden="false" customHeight="true" outlineLevel="0" collapsed="false">
      <c r="A53" s="3" t="s">
        <v>270</v>
      </c>
      <c r="J53" s="41" t="n">
        <v>1</v>
      </c>
      <c r="K53" s="41" t="n">
        <v>3</v>
      </c>
      <c r="L53" s="41" t="n">
        <v>4</v>
      </c>
      <c r="M53" s="41" t="n">
        <v>5</v>
      </c>
      <c r="N53" s="41" t="n">
        <v>6</v>
      </c>
      <c r="O53" s="41" t="n">
        <v>7</v>
      </c>
      <c r="P53" s="41" t="n">
        <v>8</v>
      </c>
      <c r="Q53" s="41" t="n">
        <v>10</v>
      </c>
    </row>
    <row r="55" customFormat="false" ht="15" hidden="false" customHeight="true" outlineLevel="0" collapsed="false">
      <c r="I55" s="9" t="s">
        <v>271</v>
      </c>
      <c r="J55" s="43" t="n">
        <v>0</v>
      </c>
      <c r="K55" s="43" t="n">
        <v>0.05</v>
      </c>
      <c r="L55" s="43" t="n">
        <v>0.08</v>
      </c>
      <c r="M55" s="43" t="n">
        <v>0.1</v>
      </c>
      <c r="N55" s="43" t="n">
        <v>0.12</v>
      </c>
      <c r="O55" s="43" t="n">
        <v>0.15</v>
      </c>
      <c r="P55" s="43" t="n">
        <v>0.18</v>
      </c>
      <c r="Q55" s="43" t="n">
        <v>0.22</v>
      </c>
    </row>
    <row r="56" customFormat="false" ht="15" hidden="false" customHeight="true" outlineLevel="0" collapsed="false">
      <c r="J56" s="41" t="n">
        <v>1</v>
      </c>
      <c r="K56" s="41" t="n">
        <v>3</v>
      </c>
      <c r="L56" s="41" t="n">
        <v>5</v>
      </c>
      <c r="M56" s="41" t="n">
        <v>6</v>
      </c>
      <c r="N56" s="41" t="n">
        <v>7</v>
      </c>
      <c r="O56" s="41" t="n">
        <v>8</v>
      </c>
      <c r="P56" s="41" t="n">
        <v>9</v>
      </c>
      <c r="Q56" s="41" t="n">
        <v>10</v>
      </c>
    </row>
    <row r="58" customFormat="false" ht="15" hidden="false" customHeight="true" outlineLevel="0" collapsed="false">
      <c r="I58" s="9" t="s">
        <v>272</v>
      </c>
      <c r="J58" s="43" t="n">
        <v>0</v>
      </c>
      <c r="K58" s="43" t="n">
        <v>100</v>
      </c>
      <c r="L58" s="43" t="n">
        <v>250</v>
      </c>
      <c r="M58" s="43" t="n">
        <v>500</v>
      </c>
      <c r="N58" s="43" t="n">
        <v>1000</v>
      </c>
      <c r="O58" s="43" t="n">
        <v>2500</v>
      </c>
      <c r="P58" s="43" t="n">
        <v>5000</v>
      </c>
      <c r="Q58" s="43" t="n">
        <v>10000</v>
      </c>
    </row>
    <row r="59" customFormat="false" ht="15" hidden="false" customHeight="true" outlineLevel="0" collapsed="false">
      <c r="J59" s="41" t="n">
        <v>1</v>
      </c>
      <c r="K59" s="41" t="n">
        <v>3</v>
      </c>
      <c r="L59" s="41" t="n">
        <v>4</v>
      </c>
      <c r="M59" s="41" t="n">
        <v>5</v>
      </c>
      <c r="N59" s="41" t="n">
        <v>7</v>
      </c>
      <c r="O59" s="41" t="n">
        <v>8</v>
      </c>
      <c r="P59" s="41" t="n">
        <v>9</v>
      </c>
      <c r="Q59" s="41" t="n">
        <v>10</v>
      </c>
    </row>
    <row r="61" customFormat="false" ht="15" hidden="false" customHeight="true" outlineLevel="0" collapsed="false">
      <c r="I61" s="9" t="s">
        <v>273</v>
      </c>
      <c r="J61" s="43" t="n">
        <v>0</v>
      </c>
      <c r="K61" s="43" t="n">
        <v>0.3</v>
      </c>
      <c r="L61" s="43" t="n">
        <v>0.5</v>
      </c>
      <c r="M61" s="43" t="n">
        <v>0.6</v>
      </c>
      <c r="N61" s="43" t="n">
        <v>0.7</v>
      </c>
      <c r="O61" s="43" t="n">
        <v>0.8</v>
      </c>
      <c r="P61" s="43" t="n">
        <v>0.9</v>
      </c>
      <c r="Q61" s="43" t="n">
        <v>1</v>
      </c>
    </row>
    <row r="62" customFormat="false" ht="15" hidden="false" customHeight="true" outlineLevel="0" collapsed="false">
      <c r="J62" s="41" t="n">
        <v>1</v>
      </c>
      <c r="K62" s="41" t="n">
        <v>3</v>
      </c>
      <c r="L62" s="41" t="n">
        <v>5</v>
      </c>
      <c r="M62" s="41" t="n">
        <v>6</v>
      </c>
      <c r="N62" s="41" t="n">
        <v>7</v>
      </c>
      <c r="O62" s="41" t="n">
        <v>8</v>
      </c>
      <c r="P62" s="41" t="n">
        <v>9</v>
      </c>
      <c r="Q62" s="41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3" min="2" style="1" width="12"/>
  </cols>
  <sheetData>
    <row r="1" customFormat="false" ht="17.25" hidden="false" customHeight="true" outlineLevel="0" collapsed="false">
      <c r="A1" s="16" t="s">
        <v>274</v>
      </c>
    </row>
    <row r="2" customFormat="false" ht="15" hidden="false" customHeight="true" outlineLevel="0" collapsed="false">
      <c r="A2" s="3" t="s">
        <v>275</v>
      </c>
    </row>
    <row r="4" customFormat="false" ht="15" hidden="false" customHeight="true" outlineLevel="0" collapsed="false">
      <c r="A4" s="17" t="s">
        <v>276</v>
      </c>
      <c r="B4" s="17" t="s">
        <v>277</v>
      </c>
      <c r="C4" s="17" t="s">
        <v>249</v>
      </c>
    </row>
    <row r="5" customFormat="false" ht="15" hidden="false" customHeight="true" outlineLevel="0" collapsed="false">
      <c r="A5" s="44" t="s">
        <v>278</v>
      </c>
      <c r="B5" s="43" t="n">
        <v>6.52</v>
      </c>
      <c r="C5" s="40" t="s">
        <v>263</v>
      </c>
    </row>
    <row r="6" customFormat="false" ht="15" hidden="false" customHeight="true" outlineLevel="0" collapsed="false">
      <c r="A6" s="44" t="s">
        <v>279</v>
      </c>
      <c r="B6" s="43" t="n">
        <v>6.7</v>
      </c>
      <c r="C6" s="40" t="s">
        <v>264</v>
      </c>
    </row>
    <row r="7" customFormat="false" ht="15" hidden="false" customHeight="true" outlineLevel="0" collapsed="false">
      <c r="A7" s="44" t="s">
        <v>280</v>
      </c>
      <c r="B7" s="43" t="n">
        <v>6.8</v>
      </c>
      <c r="C7" s="40" t="s">
        <v>264</v>
      </c>
    </row>
    <row r="8" customFormat="false" ht="15" hidden="false" customHeight="true" outlineLevel="0" collapsed="false">
      <c r="A8" s="44" t="s">
        <v>281</v>
      </c>
      <c r="B8" s="43" t="n">
        <v>6.92</v>
      </c>
      <c r="C8" s="40" t="s">
        <v>264</v>
      </c>
    </row>
    <row r="9" customFormat="false" ht="15" hidden="false" customHeight="true" outlineLevel="0" collapsed="false">
      <c r="A9" s="44" t="s">
        <v>282</v>
      </c>
      <c r="B9" s="43" t="n">
        <v>7.08</v>
      </c>
      <c r="C9" s="40" t="s">
        <v>265</v>
      </c>
    </row>
    <row r="11" customFormat="false" ht="15" hidden="false" customHeight="true" outlineLevel="0" collapsed="false">
      <c r="A11" s="9" t="s">
        <v>243</v>
      </c>
      <c r="C11" s="9" t="s">
        <v>244</v>
      </c>
    </row>
    <row r="12" customFormat="false" ht="15" hidden="false" customHeight="true" outlineLevel="0" collapsed="false">
      <c r="A12" s="1" t="s">
        <v>283</v>
      </c>
      <c r="B12" s="9" t="str">
        <f aca="false">IF(ABS(B5-Rating!F32)&lt;0.005,"OK","MISMATCH")</f>
        <v>OK</v>
      </c>
    </row>
    <row r="14" customFormat="false" ht="15" hidden="false" customHeight="true" outlineLevel="0" collapsed="false">
      <c r="A14" s="6" t="s">
        <v>284</v>
      </c>
    </row>
    <row r="15" customFormat="false" ht="15" hidden="false" customHeight="true" outlineLevel="0" collapsed="false">
      <c r="A15" s="45" t="s">
        <v>285</v>
      </c>
    </row>
    <row r="16" customFormat="false" ht="15" hidden="false" customHeight="true" outlineLevel="0" collapsed="false">
      <c r="A16" s="45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11"/>
    <col collapsed="false" customWidth="true" hidden="false" outlineLevel="0" max="6" min="6" style="1" width="80"/>
    <col collapsed="false" customWidth="true" hidden="false" outlineLevel="0" max="16" min="7" style="1" width="11"/>
  </cols>
  <sheetData>
    <row r="1" customFormat="false" ht="17.25" hidden="false" customHeight="true" outlineLevel="0" collapsed="false">
      <c r="A1" s="16" t="s">
        <v>287</v>
      </c>
    </row>
    <row r="2" customFormat="false" ht="15" hidden="false" customHeight="true" outlineLevel="0" collapsed="false">
      <c r="A2" s="3" t="s">
        <v>288</v>
      </c>
    </row>
    <row r="4" customFormat="false" ht="15" hidden="false" customHeight="true" outlineLevel="0" collapsed="false">
      <c r="A4" s="17" t="s">
        <v>289</v>
      </c>
      <c r="B4" s="17" t="s">
        <v>290</v>
      </c>
      <c r="C4" s="17" t="s">
        <v>291</v>
      </c>
      <c r="D4" s="17" t="s">
        <v>292</v>
      </c>
      <c r="E4" s="17" t="s">
        <v>293</v>
      </c>
      <c r="F4" s="17" t="s">
        <v>294</v>
      </c>
    </row>
    <row r="5" customFormat="false" ht="15" hidden="false" customHeight="true" outlineLevel="0" collapsed="false">
      <c r="A5" s="6" t="s">
        <v>144</v>
      </c>
      <c r="B5" s="46" t="n">
        <f aca="false">Analysis!$F$6</f>
        <v>1590</v>
      </c>
      <c r="C5" s="46" t="n">
        <f aca="false">Source_Data!F33</f>
        <v>1589.87</v>
      </c>
      <c r="D5" s="47" t="n">
        <f aca="false">B5-C5</f>
        <v>0.130000000000109</v>
      </c>
      <c r="E5" s="6" t="str">
        <f aca="false">IF(ABS(D5)&lt;=0.03*ABS(C5),"Reconciles","Investigate")</f>
        <v>Reconciles</v>
      </c>
      <c r="F5" s="3" t="s">
        <v>295</v>
      </c>
    </row>
    <row r="6" customFormat="false" ht="15" hidden="false" customHeight="true" outlineLevel="0" collapsed="false">
      <c r="A6" s="6" t="s">
        <v>178</v>
      </c>
      <c r="B6" s="46" t="n">
        <f aca="false">Analysis!$F$7</f>
        <v>280</v>
      </c>
      <c r="C6" s="46" t="n">
        <f aca="false">Source_Data!F34</f>
        <v>279.98</v>
      </c>
      <c r="D6" s="47" t="n">
        <f aca="false">B6-C6</f>
        <v>0.0199999999999818</v>
      </c>
      <c r="E6" s="6" t="str">
        <f aca="false">IF(ABS(D6)&lt;=0.03*ABS(C6),"Reconciles","Investigate")</f>
        <v>Reconciles</v>
      </c>
      <c r="F6" s="3"/>
    </row>
    <row r="7" customFormat="false" ht="15" hidden="false" customHeight="true" outlineLevel="0" collapsed="false">
      <c r="A7" s="6" t="s">
        <v>115</v>
      </c>
      <c r="B7" s="46" t="n">
        <f aca="false">Analysis!$F$13</f>
        <v>99</v>
      </c>
      <c r="C7" s="46" t="n">
        <f aca="false">Source_Data!F35</f>
        <v>98.67</v>
      </c>
      <c r="D7" s="47" t="n">
        <f aca="false">B7-C7</f>
        <v>0.329999999999998</v>
      </c>
      <c r="E7" s="6" t="str">
        <f aca="false">IF(ABS(D7)&lt;=0.03*ABS(C7),"Reconciles","Investigate")</f>
        <v>Reconciles</v>
      </c>
      <c r="F7" s="3"/>
    </row>
    <row r="8" customFormat="false" ht="15" hidden="false" customHeight="true" outlineLevel="0" collapsed="false">
      <c r="A8" s="6" t="s">
        <v>17</v>
      </c>
      <c r="B8" s="33" t="n">
        <f aca="false">Analysis!$F$30</f>
        <v>3.58974358974359</v>
      </c>
      <c r="C8" s="33" t="n">
        <f aca="false">Source_Data!F37</f>
        <v>3.58</v>
      </c>
      <c r="D8" s="29" t="n">
        <f aca="false">B8-C8</f>
        <v>0.0097435897435898</v>
      </c>
      <c r="E8" s="6" t="str">
        <f aca="false">IF(ABS(D8)&lt;=0.03*ABS(C8),"Reconciles","Investigate")</f>
        <v>Reconciles</v>
      </c>
      <c r="F8" s="3" t="s">
        <v>296</v>
      </c>
    </row>
    <row r="9" customFormat="false" ht="15" hidden="false" customHeight="true" outlineLevel="0" collapsed="false">
      <c r="A9" s="6" t="s">
        <v>204</v>
      </c>
      <c r="B9" s="33" t="n">
        <f aca="false">Analysis!$F$26</f>
        <v>1.26666666666667</v>
      </c>
      <c r="C9" s="33" t="n">
        <f aca="false">Source_Data!F36</f>
        <v>1.1</v>
      </c>
      <c r="D9" s="29" t="n">
        <f aca="false">B9-C9</f>
        <v>0.166666666666667</v>
      </c>
      <c r="E9" s="6" t="str">
        <f aca="false">IF(ABS(D9)&lt;=0.03*ABS(C9),"Reconciles","Investigate")</f>
        <v>Investigate</v>
      </c>
      <c r="F9" s="3" t="s">
        <v>297</v>
      </c>
    </row>
    <row r="10" customFormat="false" ht="15" hidden="false" customHeight="true" outlineLevel="0" collapsed="false">
      <c r="A10" s="6" t="s">
        <v>160</v>
      </c>
      <c r="B10" s="33" t="n">
        <f aca="false">Analysis!$F$28</f>
        <v>4.41071428571429</v>
      </c>
      <c r="C10" s="33" t="n">
        <f aca="false">Source_Data!F39</f>
        <v>3.84</v>
      </c>
      <c r="D10" s="29" t="n">
        <f aca="false">B10-C10</f>
        <v>0.570714285714286</v>
      </c>
      <c r="E10" s="6" t="str">
        <f aca="false">IF(ABS(D10)&lt;=0.03*ABS(C10),"Reconciles","Investigate")</f>
        <v>Investigate</v>
      </c>
      <c r="F10" s="3" t="s">
        <v>298</v>
      </c>
    </row>
    <row r="11" customFormat="false" ht="15" hidden="false" customHeight="true" outlineLevel="0" collapsed="false">
      <c r="A11" s="6" t="s">
        <v>19</v>
      </c>
      <c r="B11" s="31" t="n">
        <f aca="false">Analysis!$F$31</f>
        <v>0.0900186567164179</v>
      </c>
      <c r="C11" s="31" t="n">
        <f aca="false">Source_Data!F40</f>
        <v>0.0916</v>
      </c>
      <c r="D11" s="23" t="n">
        <f aca="false">B11-C11</f>
        <v>-0.00158134328358209</v>
      </c>
      <c r="E11" s="6" t="str">
        <f aca="false">IF(ABS(D11)&lt;=0.03*ABS(C11),"Reconciles","Investigate")</f>
        <v>Reconciles</v>
      </c>
      <c r="F11" s="3" t="s">
        <v>299</v>
      </c>
    </row>
    <row r="12" customFormat="false" ht="15" hidden="false" customHeight="true" outlineLevel="0" collapsed="false">
      <c r="A12" s="6" t="s">
        <v>300</v>
      </c>
      <c r="B12" s="28" t="n">
        <f aca="false">Source_Data!F36*Analysis!$F$16</f>
        <v>1072.5</v>
      </c>
    </row>
    <row r="13" customFormat="false" ht="15" hidden="false" customHeight="true" outlineLevel="0" collapsed="false">
      <c r="A13" s="6" t="s">
        <v>301</v>
      </c>
      <c r="B13" s="28" t="n">
        <f aca="false">Source_Data!F39*Source_Data!F34</f>
        <v>1075.1232</v>
      </c>
    </row>
    <row r="15" customFormat="false" ht="15" hidden="false" customHeight="true" outlineLevel="0" collapsed="false">
      <c r="A15" s="17" t="s">
        <v>302</v>
      </c>
      <c r="B15" s="17" t="s">
        <v>303</v>
      </c>
      <c r="C15" s="17" t="s">
        <v>29</v>
      </c>
      <c r="D15" s="17" t="s">
        <v>30</v>
      </c>
      <c r="E15" s="17" t="s">
        <v>304</v>
      </c>
      <c r="F15" s="17" t="s">
        <v>305</v>
      </c>
    </row>
    <row r="16" customFormat="false" ht="15" hidden="false" customHeight="true" outlineLevel="0" collapsed="false">
      <c r="A16" s="6" t="s">
        <v>306</v>
      </c>
      <c r="B16" s="33" t="n">
        <f aca="false">Source_Data!$F$52</f>
        <v>0.8</v>
      </c>
      <c r="C16" s="33" t="n">
        <f aca="false">Analysis!$F$26</f>
        <v>1.26666666666667</v>
      </c>
      <c r="D16" s="33" t="n">
        <f aca="false">Analysis!$G$26</f>
        <v>1.11736810836474</v>
      </c>
      <c r="E16" s="6" t="str">
        <f aca="false">IF(D16&lt;B16,"Yes","No")</f>
        <v>No</v>
      </c>
      <c r="F16" s="29" t="n">
        <f aca="false">D16-B16</f>
        <v>0.317368108364736</v>
      </c>
    </row>
    <row r="17" customFormat="false" ht="15" hidden="false" customHeight="true" outlineLevel="0" collapsed="false">
      <c r="A17" s="6" t="s">
        <v>307</v>
      </c>
      <c r="B17" s="33" t="n">
        <f aca="false">Source_Data!$F$53</f>
        <v>3</v>
      </c>
      <c r="C17" s="33" t="n">
        <f aca="false">Analysis!$F$28</f>
        <v>4.41071428571429</v>
      </c>
      <c r="D17" s="33" t="n">
        <f aca="false">Analysis!$G$28</f>
        <v>3.80140797680979</v>
      </c>
      <c r="E17" s="6" t="str">
        <f aca="false">IF(D17&lt;B17,"Yes","No")</f>
        <v>No</v>
      </c>
      <c r="F17" s="29" t="n">
        <f aca="false">D17-B17</f>
        <v>0.801407976809794</v>
      </c>
    </row>
    <row r="18" customFormat="false" ht="15" hidden="false" customHeight="true" outlineLevel="0" collapsed="false">
      <c r="A18" s="6" t="s">
        <v>308</v>
      </c>
      <c r="B18" s="31" t="n">
        <f aca="false">Source_Data!$F$54</f>
        <v>0.15</v>
      </c>
      <c r="C18" s="31" t="n">
        <f aca="false">Analysis!$F$31</f>
        <v>0.0900186567164179</v>
      </c>
      <c r="D18" s="31" t="n">
        <f aca="false">Analysis!$G$31</f>
        <v>0.0933584345097486</v>
      </c>
      <c r="E18" s="6" t="str">
        <f aca="false">IF(D18&gt;B18,"Yes","No")</f>
        <v>No</v>
      </c>
      <c r="F18" s="23" t="n">
        <f aca="false">D18-B18</f>
        <v>-0.0566415654902514</v>
      </c>
    </row>
    <row r="19" customFormat="false" ht="15" hidden="false" customHeight="true" outlineLevel="0" collapsed="false">
      <c r="A19" s="6" t="s">
        <v>309</v>
      </c>
      <c r="B19" s="33" t="n">
        <f aca="false">Source_Data!$F$55</f>
        <v>1.5</v>
      </c>
      <c r="C19" s="33" t="n">
        <f aca="false">Analysis!$F$26</f>
        <v>1.26666666666667</v>
      </c>
      <c r="D19" s="33" t="n">
        <f aca="false">Analysis!$G$26</f>
        <v>1.11736810836474</v>
      </c>
      <c r="E19" s="6" t="str">
        <f aca="false">IF(D19&gt;B19,"Yes","No")</f>
        <v>No</v>
      </c>
      <c r="F19" s="29" t="n">
        <f aca="false">D19-B19</f>
        <v>-0.382631891635264</v>
      </c>
    </row>
    <row r="20" customFormat="false" ht="15" hidden="false" customHeight="true" outlineLevel="0" collapsed="false">
      <c r="A20" s="9" t="s">
        <v>310</v>
      </c>
      <c r="D20" s="26" t="n">
        <f aca="false">MAX(0,Analysis!$G$15-Source_Data!$F$53*Analysis!$G$7)</f>
        <v>247.712</v>
      </c>
    </row>
  </sheetData>
  <conditionalFormatting sqref="E5">
    <cfRule type="cellIs" priority="2" operator="equal" aboveAverage="0" equalAverage="0" bottom="0" percent="0" rank="0" text="" dxfId="1">
      <formula>"Investigate"</formula>
    </cfRule>
  </conditionalFormatting>
  <conditionalFormatting sqref="E6">
    <cfRule type="cellIs" priority="3" operator="equal" aboveAverage="0" equalAverage="0" bottom="0" percent="0" rank="0" text="" dxfId="1">
      <formula>"Investigate"</formula>
    </cfRule>
  </conditionalFormatting>
  <conditionalFormatting sqref="E7">
    <cfRule type="cellIs" priority="4" operator="equal" aboveAverage="0" equalAverage="0" bottom="0" percent="0" rank="0" text="" dxfId="1">
      <formula>"Investigate"</formula>
    </cfRule>
  </conditionalFormatting>
  <conditionalFormatting sqref="E8">
    <cfRule type="cellIs" priority="5" operator="equal" aboveAverage="0" equalAverage="0" bottom="0" percent="0" rank="0" text="" dxfId="1">
      <formula>"Investigate"</formula>
    </cfRule>
  </conditionalFormatting>
  <conditionalFormatting sqref="E9">
    <cfRule type="cellIs" priority="6" operator="equal" aboveAverage="0" equalAverage="0" bottom="0" percent="0" rank="0" text="" dxfId="1">
      <formula>"Investigate"</formula>
    </cfRule>
  </conditionalFormatting>
  <conditionalFormatting sqref="E10">
    <cfRule type="cellIs" priority="7" operator="equal" aboveAverage="0" equalAverage="0" bottom="0" percent="0" rank="0" text="" dxfId="1">
      <formula>"Investigate"</formula>
    </cfRule>
  </conditionalFormatting>
  <conditionalFormatting sqref="E11">
    <cfRule type="cellIs" priority="8" operator="equal" aboveAverage="0" equalAverage="0" bottom="0" percent="0" rank="0" text="" dxfId="1">
      <formula>"Investigate"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2026-09-18T07:14:32Z</dcterms:created>
  <dc:creator>openpyxl</dc:creator>
  <dc:description/>
  <dc:language>en-US</dc:language>
  <cp:lastModifiedBy/>
  <dcterms:modified xsi:type="dcterms:W3CDTF">2026-09-18T07:17:07Z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